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ia\Documents\Projects\coastal-asset-register\V2 (Final)\"/>
    </mc:Choice>
  </mc:AlternateContent>
  <xr:revisionPtr revIDLastSave="0" documentId="8_{4C090C0E-0F1E-41EF-835A-9C42773FED63}" xr6:coauthVersionLast="47" xr6:coauthVersionMax="47" xr10:uidLastSave="{00000000-0000-0000-0000-000000000000}"/>
  <bookViews>
    <workbookView xWindow="-120" yWindow="-120" windowWidth="29040" windowHeight="15720" xr2:uid="{E048ACF6-369A-47C5-8F13-73CE86641C3D}"/>
  </bookViews>
  <sheets>
    <sheet name="FV Riverwall" sheetId="1" r:id="rId1"/>
  </sheets>
  <externalReferences>
    <externalReference r:id="rId2"/>
    <externalReference r:id="rId3"/>
  </externalReferences>
  <definedNames>
    <definedName name="AC_Ducted">#REF!</definedName>
    <definedName name="AC_Evaporative">#REF!</definedName>
    <definedName name="AC_Split">#REF!</definedName>
    <definedName name="AC_Through_Wall">#REF!</definedName>
    <definedName name="Access">#REF!</definedName>
    <definedName name="Air_Conditioning_Split">#REF!</definedName>
    <definedName name="Amenities">#REF!</definedName>
    <definedName name="Asbestos_Status">'[2]Drop Down Items'!$A$2:$A$4</definedName>
    <definedName name="Asset_Class">'[2]Drop Down Items'!$B$2:$B$29</definedName>
    <definedName name="Asset_Type">'[2]Drop Down Items'!$C$2:$C$77</definedName>
    <definedName name="Assettype">#REF!</definedName>
    <definedName name="awningrate">#REF!</definedName>
    <definedName name="BCColA">OFFSET(#REF!,0,0,COUNTA(#REF!)-COUNTA(#REF!),1)</definedName>
    <definedName name="bldgcost_index">#REF!</definedName>
    <definedName name="CalcFairValue">_xlfn.LAMBDA(_xlpm.remainingLife,_xlpm.usefulLife,_xlpm.rcIncPF, IFERROR(IF(OR(_xlpm.remainingLife="", _xlpm.usefulLife="", _xlpm.rcIncPF="", _xlpm.usefulLife=0), "", (_xlpm.remainingLife / _xlpm.usefulLife) * _xlpm.rcIncPF), "-"))</definedName>
    <definedName name="CalcRCExc">_xlfn.LAMBDA(_xlpm.rate,_xlpm.area,_xlpm.contingency,_xlpm.isRawlinsons, IF(OR(_xlpm.rate="", _xlpm.area=""), "-", IF(_xlpm.isRawlinsons, CEILING(_xlpm.rate * _xlpm.area, LOOKUP(_xlpm.rate * _xlpm.area, [1]Formula!$G$3:$G$300, [1]Formula!$I$3:$I$300)), CEILING(_xlpm.rate * (1 + _xlpm.contingency) * _xlpm.area, LOOKUP(_xlpm.rate * (1 + _xlpm.contingency) * _xlpm.area, [1]Formula!$G$3:$G$300, [1]Formula!$I$3:$I$300)))))</definedName>
    <definedName name="CalcRCInc">_xlfn.LAMBDA(_xlpm.rate,_xlpm.area,_xlpm.contingency,_xlpm.profFees,_xlpm.isRawlinsons, IF(OR(_xlpm.rate="", _xlpm.area="", _xlpm.profFees=""), "-", IF(_xlpm.isRawlinsons, CEILING(_xlpm.rate * _xlpm.area * (1 + _xlpm.profFees), LOOKUP(_xlpm.rate * _xlpm.area * (1 + _xlpm.profFees), [1]Formula!$G$3:$G$300, [1]Formula!$I$3:$I$300)), CEILING(_xlpm.rate * _xlpm.area * (1 + _xlpm.contingency) * (1 + _xlpm.profFees), LOOKUP(_xlpm.rate * _xlpm.area * (1 + _xlpm.contingency) * (1 + _xlpm.profFees), [1]Formula!$G$3:$G$300, [1]Formula!$I$3:$I$300)))))</definedName>
    <definedName name="citysettings">#REF!</definedName>
    <definedName name="column_moves">#REF!</definedName>
    <definedName name="comp1">#REF!</definedName>
    <definedName name="comp10">#REF!</definedName>
    <definedName name="comp11">#REF!</definedName>
    <definedName name="comp12">#REF!</definedName>
    <definedName name="comp13">#REF!</definedName>
    <definedName name="comp2">#REF!</definedName>
    <definedName name="comp3">#REF!</definedName>
    <definedName name="comp4">#REF!</definedName>
    <definedName name="comp5">#REF!</definedName>
    <definedName name="comp6">#REF!</definedName>
    <definedName name="comp7">#REF!</definedName>
    <definedName name="comp8">#REF!</definedName>
    <definedName name="comp9">#REF!</definedName>
    <definedName name="compno">#REF!</definedName>
    <definedName name="ConditionRating">_xlfn.LAMBDA(_xlpm.remainingLife,_xlpm.usefulLife, IF(OR(_xlpm.usefulLife="", _xlpm.usefulLife=0), 0, _xlfn.LET(_xlpm.ratio, _xlpm.remainingLife/_xlpm.usefulLife, _xlpm.code, '[1]Introduction Page'!$D$19, IF(_xlpm.code=1, _xlfn.XLOOKUP(_xlpm.ratio, [1]Formula!$M$3:$M$13, [1]Formula!$O$3:$O$13,"",-1), IF(_xlpm.code=2, _xlfn.XLOOKUP(_xlpm.ratio, [1]Formula!$M$19:$M$23, [1]Formula!$O$19:$O$23,"",-1), IF(_xlpm.code=3, _xlfn.XLOOKUP(_xlpm.ratio, [1]Formula!$N$29:$N$38, [1]Formula!$M$29:$M$38,"",-1), ""))))))</definedName>
    <definedName name="Construction">#REF!</definedName>
    <definedName name="Cover">#REF!</definedName>
    <definedName name="depreciation_type">#REF!</definedName>
    <definedName name="depreciation_type_column">#REF!</definedName>
    <definedName name="Fire">#REF!</definedName>
    <definedName name="Flood">#REF!</definedName>
    <definedName name="Flood_Effect">#REF!</definedName>
    <definedName name="Gas">#REF!</definedName>
    <definedName name="HistoricalSignificance">#REF!</definedName>
    <definedName name="isolation">#REF!</definedName>
    <definedName name="lead_esc">#REF!</definedName>
    <definedName name="Mat_Administration_Office_Single_Storey">_xlfn._xlws.FILTER([1]Formula!$U$2:$U$120, [1]Formula!$T$2:$T$120=[1]Formula!A1)</definedName>
    <definedName name="nocsettings">#REF!</definedName>
    <definedName name="Number_of_Valuers">#REF!</definedName>
    <definedName name="Occupant">#REF!</definedName>
    <definedName name="Ownership">#REF!</definedName>
    <definedName name="photo_folder">#REF!</definedName>
    <definedName name="police_period">#REF!</definedName>
    <definedName name="policy_esc">#REF!</definedName>
    <definedName name="Power">#REF!</definedName>
    <definedName name="prof_fees">#REF!</definedName>
    <definedName name="rate_index_all">#REF!</definedName>
    <definedName name="rate_index_column">#REF!</definedName>
    <definedName name="rate_index_row">#REF!</definedName>
    <definedName name="rates_current_lookup_column_no">#REF!</definedName>
    <definedName name="rates_origin_lookup_column_no">#REF!</definedName>
    <definedName name="RawlinsonsRate">_xlfn.LAMBDA(_xlpm.code,_xlpm.componentRef,_xlpm.loading,_xlpm.regionalIndex, IF(OR(_xlpm.code="", _xlpm.componentRef=""), "", IFERROR(_xlfn.LET(_xlpm.base_rate, INDEX(#REF!, MATCH(_xlpm.componentRef,#REF!, 0), MATCH(INT(_xlpm.code),#REF!, 0)), _xlpm.quality_adj, IF(OR(_xlpm.loading="", _xlpm.loading=0), 1, 1 + _xlpm.loading), _xlpm.regional_adj, IF(_xlpm.regionalIndex="", 1, 1 + _xlpm.regionalIndex), _xlpm.base_rate * _xlpm.quality_adj * _xlpm.regional_adj), "Code/comp missing")))</definedName>
    <definedName name="rebuild_esc">#REF!</definedName>
    <definedName name="remov_cost">#REF!</definedName>
    <definedName name="residualdecider">#REF!</definedName>
    <definedName name="Road">#REF!</definedName>
    <definedName name="round_to" comment="The current setting adopt 5 year in regard to rounding for componentized estimated life calculation">#REF!</definedName>
    <definedName name="Shape">#REF!</definedName>
    <definedName name="Situation">#REF!</definedName>
    <definedName name="Stories">#REF!</definedName>
    <definedName name="threshold">#REF!</definedName>
    <definedName name="Top">#REF!</definedName>
    <definedName name="Type">#REF!</definedName>
    <definedName name="Valuation_Status">#REF!</definedName>
    <definedName name="valuer1">#REF!</definedName>
    <definedName name="valuer2">#REF!</definedName>
    <definedName name="valuer3">#REF!</definedName>
    <definedName name="valuer4">#REF!</definedName>
    <definedName name="valuer5">#REF!</definedName>
    <definedName name="valuer6">#REF!</definedName>
    <definedName name="valuer7">#REF!</definedName>
    <definedName name="valuer8">#REF!</definedName>
    <definedName name="Vauler_Name">#REF!</definedName>
    <definedName name="Ventilation_Active">#REF!</definedName>
    <definedName name="Ventilation_Passive">#REF!</definedName>
    <definedName name="Water">#REF!</definedName>
    <definedName name="YES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47" i="1" l="1"/>
  <c r="S47" i="1"/>
  <c r="R47" i="1"/>
  <c r="Q47" i="1"/>
  <c r="P47" i="1"/>
  <c r="O47" i="1"/>
  <c r="N47" i="1"/>
  <c r="M47" i="1"/>
  <c r="L47" i="1"/>
  <c r="K47" i="1"/>
  <c r="J47" i="1"/>
  <c r="I47" i="1"/>
  <c r="G47" i="1"/>
  <c r="F47" i="1"/>
  <c r="E47" i="1"/>
  <c r="D47" i="1"/>
  <c r="C47" i="1"/>
  <c r="B47" i="1"/>
  <c r="A47" i="1"/>
  <c r="V46" i="1"/>
  <c r="S46" i="1"/>
  <c r="R46" i="1"/>
  <c r="Q46" i="1"/>
  <c r="P46" i="1"/>
  <c r="O46" i="1"/>
  <c r="N46" i="1"/>
  <c r="M46" i="1"/>
  <c r="L46" i="1"/>
  <c r="K46" i="1"/>
  <c r="J46" i="1"/>
  <c r="I46" i="1"/>
  <c r="G46" i="1"/>
  <c r="F46" i="1"/>
  <c r="E46" i="1"/>
  <c r="D46" i="1"/>
  <c r="C46" i="1"/>
  <c r="B46" i="1"/>
  <c r="A46" i="1"/>
  <c r="V45" i="1"/>
  <c r="S45" i="1"/>
  <c r="R45" i="1"/>
  <c r="Q45" i="1"/>
  <c r="P45" i="1"/>
  <c r="O45" i="1"/>
  <c r="N45" i="1"/>
  <c r="M45" i="1"/>
  <c r="L45" i="1"/>
  <c r="K45" i="1"/>
  <c r="J45" i="1"/>
  <c r="I45" i="1"/>
  <c r="G45" i="1"/>
  <c r="F45" i="1"/>
  <c r="E45" i="1"/>
  <c r="D45" i="1"/>
  <c r="C45" i="1"/>
  <c r="B45" i="1"/>
  <c r="A45" i="1"/>
  <c r="V44" i="1"/>
  <c r="S44" i="1"/>
  <c r="R44" i="1"/>
  <c r="Q44" i="1"/>
  <c r="P44" i="1"/>
  <c r="O44" i="1"/>
  <c r="N44" i="1"/>
  <c r="M44" i="1"/>
  <c r="L44" i="1"/>
  <c r="K44" i="1"/>
  <c r="J44" i="1"/>
  <c r="I44" i="1"/>
  <c r="G44" i="1"/>
  <c r="F44" i="1"/>
  <c r="E44" i="1"/>
  <c r="D44" i="1"/>
  <c r="C44" i="1"/>
  <c r="B44" i="1"/>
  <c r="A44" i="1"/>
  <c r="V43" i="1"/>
  <c r="S43" i="1"/>
  <c r="R43" i="1"/>
  <c r="Q43" i="1"/>
  <c r="P43" i="1"/>
  <c r="O43" i="1"/>
  <c r="N43" i="1"/>
  <c r="M43" i="1"/>
  <c r="L43" i="1"/>
  <c r="K43" i="1"/>
  <c r="J43" i="1"/>
  <c r="I43" i="1"/>
  <c r="G43" i="1"/>
  <c r="F43" i="1"/>
  <c r="E43" i="1"/>
  <c r="D43" i="1"/>
  <c r="C43" i="1"/>
  <c r="B43" i="1"/>
  <c r="A43" i="1"/>
  <c r="V42" i="1"/>
  <c r="S42" i="1"/>
  <c r="R42" i="1"/>
  <c r="Q42" i="1"/>
  <c r="P42" i="1"/>
  <c r="O42" i="1"/>
  <c r="N42" i="1"/>
  <c r="M42" i="1"/>
  <c r="L42" i="1"/>
  <c r="K42" i="1"/>
  <c r="J42" i="1"/>
  <c r="I42" i="1"/>
  <c r="G42" i="1"/>
  <c r="F42" i="1"/>
  <c r="E42" i="1"/>
  <c r="D42" i="1"/>
  <c r="C42" i="1"/>
  <c r="B42" i="1"/>
  <c r="A42" i="1"/>
  <c r="V41" i="1"/>
  <c r="S41" i="1"/>
  <c r="R41" i="1"/>
  <c r="Q41" i="1"/>
  <c r="P41" i="1"/>
  <c r="O41" i="1"/>
  <c r="N41" i="1"/>
  <c r="M41" i="1"/>
  <c r="L41" i="1"/>
  <c r="K41" i="1"/>
  <c r="J41" i="1"/>
  <c r="I41" i="1"/>
  <c r="G41" i="1"/>
  <c r="F41" i="1"/>
  <c r="E41" i="1"/>
  <c r="D41" i="1"/>
  <c r="C41" i="1"/>
  <c r="B41" i="1"/>
  <c r="A41" i="1"/>
  <c r="V40" i="1"/>
  <c r="S40" i="1"/>
  <c r="R40" i="1"/>
  <c r="Q40" i="1"/>
  <c r="P40" i="1"/>
  <c r="O40" i="1"/>
  <c r="N40" i="1"/>
  <c r="M40" i="1"/>
  <c r="L40" i="1"/>
  <c r="K40" i="1"/>
  <c r="J40" i="1"/>
  <c r="I40" i="1"/>
  <c r="G40" i="1"/>
  <c r="F40" i="1"/>
  <c r="E40" i="1"/>
  <c r="D40" i="1"/>
  <c r="C40" i="1"/>
  <c r="B40" i="1"/>
  <c r="A40" i="1"/>
  <c r="V39" i="1"/>
  <c r="S39" i="1"/>
  <c r="R39" i="1"/>
  <c r="Q39" i="1"/>
  <c r="P39" i="1"/>
  <c r="O39" i="1"/>
  <c r="N39" i="1"/>
  <c r="M39" i="1"/>
  <c r="L39" i="1"/>
  <c r="K39" i="1"/>
  <c r="J39" i="1"/>
  <c r="I39" i="1"/>
  <c r="G39" i="1"/>
  <c r="F39" i="1"/>
  <c r="E39" i="1"/>
  <c r="D39" i="1"/>
  <c r="C39" i="1"/>
  <c r="B39" i="1"/>
  <c r="A39" i="1"/>
  <c r="V38" i="1"/>
  <c r="S38" i="1"/>
  <c r="R38" i="1"/>
  <c r="Q38" i="1"/>
  <c r="P38" i="1"/>
  <c r="O38" i="1"/>
  <c r="N38" i="1"/>
  <c r="M38" i="1"/>
  <c r="L38" i="1"/>
  <c r="K38" i="1"/>
  <c r="J38" i="1"/>
  <c r="I38" i="1"/>
  <c r="G38" i="1"/>
  <c r="F38" i="1"/>
  <c r="E38" i="1"/>
  <c r="D38" i="1"/>
  <c r="C38" i="1"/>
  <c r="B38" i="1"/>
  <c r="A38" i="1"/>
  <c r="V37" i="1"/>
  <c r="S37" i="1"/>
  <c r="R37" i="1"/>
  <c r="Q37" i="1"/>
  <c r="P37" i="1"/>
  <c r="O37" i="1"/>
  <c r="N37" i="1"/>
  <c r="M37" i="1"/>
  <c r="L37" i="1"/>
  <c r="K37" i="1"/>
  <c r="J37" i="1"/>
  <c r="I37" i="1"/>
  <c r="G37" i="1"/>
  <c r="F37" i="1"/>
  <c r="E37" i="1"/>
  <c r="D37" i="1"/>
  <c r="C37" i="1"/>
  <c r="B37" i="1"/>
  <c r="A37" i="1"/>
  <c r="V36" i="1"/>
  <c r="S36" i="1"/>
  <c r="R36" i="1"/>
  <c r="Q36" i="1"/>
  <c r="P36" i="1"/>
  <c r="O36" i="1"/>
  <c r="N36" i="1"/>
  <c r="M36" i="1"/>
  <c r="L36" i="1"/>
  <c r="K36" i="1"/>
  <c r="J36" i="1"/>
  <c r="I36" i="1"/>
  <c r="G36" i="1"/>
  <c r="F36" i="1"/>
  <c r="E36" i="1"/>
  <c r="D36" i="1"/>
  <c r="C36" i="1"/>
  <c r="B36" i="1"/>
  <c r="A36" i="1"/>
  <c r="V35" i="1"/>
  <c r="S35" i="1"/>
  <c r="R35" i="1"/>
  <c r="Q35" i="1"/>
  <c r="P35" i="1"/>
  <c r="O35" i="1"/>
  <c r="N35" i="1"/>
  <c r="M35" i="1"/>
  <c r="L35" i="1"/>
  <c r="K35" i="1"/>
  <c r="J35" i="1"/>
  <c r="I35" i="1"/>
  <c r="G35" i="1"/>
  <c r="F35" i="1"/>
  <c r="E35" i="1"/>
  <c r="D35" i="1"/>
  <c r="C35" i="1"/>
  <c r="B35" i="1"/>
  <c r="A35" i="1"/>
  <c r="V34" i="1"/>
  <c r="S34" i="1"/>
  <c r="R34" i="1"/>
  <c r="Q34" i="1"/>
  <c r="P34" i="1"/>
  <c r="O34" i="1"/>
  <c r="N34" i="1"/>
  <c r="M34" i="1"/>
  <c r="L34" i="1"/>
  <c r="K34" i="1"/>
  <c r="J34" i="1"/>
  <c r="I34" i="1"/>
  <c r="G34" i="1"/>
  <c r="F34" i="1"/>
  <c r="E34" i="1"/>
  <c r="D34" i="1"/>
  <c r="C34" i="1"/>
  <c r="B34" i="1"/>
  <c r="A34" i="1"/>
  <c r="V33" i="1"/>
  <c r="S33" i="1"/>
  <c r="R33" i="1"/>
  <c r="Q33" i="1"/>
  <c r="P33" i="1"/>
  <c r="O33" i="1"/>
  <c r="N33" i="1"/>
  <c r="M33" i="1"/>
  <c r="L33" i="1"/>
  <c r="K33" i="1"/>
  <c r="J33" i="1"/>
  <c r="I33" i="1"/>
  <c r="G33" i="1"/>
  <c r="F33" i="1"/>
  <c r="E33" i="1"/>
  <c r="D33" i="1"/>
  <c r="C33" i="1"/>
  <c r="B33" i="1"/>
  <c r="A33" i="1"/>
  <c r="V32" i="1"/>
  <c r="S32" i="1"/>
  <c r="R32" i="1"/>
  <c r="Q32" i="1"/>
  <c r="P32" i="1"/>
  <c r="O32" i="1"/>
  <c r="N32" i="1"/>
  <c r="M32" i="1"/>
  <c r="L32" i="1"/>
  <c r="K32" i="1"/>
  <c r="J32" i="1"/>
  <c r="I32" i="1"/>
  <c r="G32" i="1"/>
  <c r="F32" i="1"/>
  <c r="E32" i="1"/>
  <c r="D32" i="1"/>
  <c r="C32" i="1"/>
  <c r="B32" i="1"/>
  <c r="A32" i="1"/>
  <c r="V31" i="1"/>
  <c r="S31" i="1"/>
  <c r="R31" i="1"/>
  <c r="Q31" i="1"/>
  <c r="P31" i="1"/>
  <c r="O31" i="1"/>
  <c r="N31" i="1"/>
  <c r="M31" i="1"/>
  <c r="L31" i="1"/>
  <c r="K31" i="1"/>
  <c r="J31" i="1"/>
  <c r="I31" i="1"/>
  <c r="G31" i="1"/>
  <c r="F31" i="1"/>
  <c r="E31" i="1"/>
  <c r="D31" i="1"/>
  <c r="C31" i="1"/>
  <c r="B31" i="1"/>
  <c r="A31" i="1"/>
  <c r="V30" i="1"/>
  <c r="S30" i="1"/>
  <c r="R30" i="1"/>
  <c r="Q30" i="1"/>
  <c r="P30" i="1"/>
  <c r="O30" i="1"/>
  <c r="N30" i="1"/>
  <c r="M30" i="1"/>
  <c r="L30" i="1"/>
  <c r="K30" i="1"/>
  <c r="J30" i="1"/>
  <c r="I30" i="1"/>
  <c r="G30" i="1"/>
  <c r="F30" i="1"/>
  <c r="E30" i="1"/>
  <c r="D30" i="1"/>
  <c r="C30" i="1"/>
  <c r="B30" i="1"/>
  <c r="A30" i="1"/>
  <c r="V29" i="1"/>
  <c r="S29" i="1"/>
  <c r="R29" i="1"/>
  <c r="Q29" i="1"/>
  <c r="P29" i="1"/>
  <c r="O29" i="1"/>
  <c r="N29" i="1"/>
  <c r="M29" i="1"/>
  <c r="L29" i="1"/>
  <c r="K29" i="1"/>
  <c r="J29" i="1"/>
  <c r="I29" i="1"/>
  <c r="G29" i="1"/>
  <c r="F29" i="1"/>
  <c r="E29" i="1"/>
  <c r="D29" i="1"/>
  <c r="C29" i="1"/>
  <c r="B29" i="1"/>
  <c r="A29" i="1"/>
  <c r="V28" i="1"/>
  <c r="S28" i="1"/>
  <c r="R28" i="1"/>
  <c r="Q28" i="1"/>
  <c r="P28" i="1"/>
  <c r="O28" i="1"/>
  <c r="N28" i="1"/>
  <c r="M28" i="1"/>
  <c r="L28" i="1"/>
  <c r="K28" i="1"/>
  <c r="J28" i="1"/>
  <c r="I28" i="1"/>
  <c r="G28" i="1"/>
  <c r="F28" i="1"/>
  <c r="E28" i="1"/>
  <c r="D28" i="1"/>
  <c r="C28" i="1"/>
  <c r="B28" i="1"/>
  <c r="A28" i="1"/>
  <c r="V27" i="1"/>
  <c r="S27" i="1"/>
  <c r="R27" i="1"/>
  <c r="Q27" i="1"/>
  <c r="P27" i="1"/>
  <c r="O27" i="1"/>
  <c r="N27" i="1"/>
  <c r="M27" i="1"/>
  <c r="L27" i="1"/>
  <c r="K27" i="1"/>
  <c r="J27" i="1"/>
  <c r="I27" i="1"/>
  <c r="G27" i="1"/>
  <c r="F27" i="1"/>
  <c r="E27" i="1"/>
  <c r="D27" i="1"/>
  <c r="C27" i="1"/>
  <c r="B27" i="1"/>
  <c r="A27" i="1"/>
  <c r="V26" i="1"/>
  <c r="S26" i="1"/>
  <c r="R26" i="1"/>
  <c r="Q26" i="1"/>
  <c r="P26" i="1"/>
  <c r="O26" i="1"/>
  <c r="N26" i="1"/>
  <c r="M26" i="1"/>
  <c r="L26" i="1"/>
  <c r="K26" i="1"/>
  <c r="J26" i="1"/>
  <c r="I26" i="1"/>
  <c r="G26" i="1"/>
  <c r="F26" i="1"/>
  <c r="E26" i="1"/>
  <c r="D26" i="1"/>
  <c r="C26" i="1"/>
  <c r="B26" i="1"/>
  <c r="A26" i="1"/>
  <c r="V25" i="1"/>
  <c r="S25" i="1"/>
  <c r="R25" i="1"/>
  <c r="Q25" i="1"/>
  <c r="P25" i="1"/>
  <c r="O25" i="1"/>
  <c r="N25" i="1"/>
  <c r="M25" i="1"/>
  <c r="L25" i="1"/>
  <c r="K25" i="1"/>
  <c r="J25" i="1"/>
  <c r="I25" i="1"/>
  <c r="G25" i="1"/>
  <c r="F25" i="1"/>
  <c r="E25" i="1"/>
  <c r="D25" i="1"/>
  <c r="C25" i="1"/>
  <c r="B25" i="1"/>
  <c r="A25" i="1"/>
  <c r="V24" i="1"/>
  <c r="S24" i="1"/>
  <c r="R24" i="1"/>
  <c r="Q24" i="1"/>
  <c r="P24" i="1"/>
  <c r="O24" i="1"/>
  <c r="N24" i="1"/>
  <c r="M24" i="1"/>
  <c r="L24" i="1"/>
  <c r="K24" i="1"/>
  <c r="J24" i="1"/>
  <c r="I24" i="1"/>
  <c r="G24" i="1"/>
  <c r="F24" i="1"/>
  <c r="E24" i="1"/>
  <c r="D24" i="1"/>
  <c r="C24" i="1"/>
  <c r="B24" i="1"/>
  <c r="A24" i="1"/>
  <c r="V23" i="1"/>
  <c r="S23" i="1"/>
  <c r="R23" i="1"/>
  <c r="Q23" i="1"/>
  <c r="P23" i="1"/>
  <c r="O23" i="1"/>
  <c r="N23" i="1"/>
  <c r="M23" i="1"/>
  <c r="L23" i="1"/>
  <c r="K23" i="1"/>
  <c r="J23" i="1"/>
  <c r="I23" i="1"/>
  <c r="G23" i="1"/>
  <c r="F23" i="1"/>
  <c r="E23" i="1"/>
  <c r="D23" i="1"/>
  <c r="C23" i="1"/>
  <c r="B23" i="1"/>
  <c r="A23" i="1"/>
  <c r="V22" i="1"/>
  <c r="S22" i="1"/>
  <c r="R22" i="1"/>
  <c r="Q22" i="1"/>
  <c r="P22" i="1"/>
  <c r="O22" i="1"/>
  <c r="N22" i="1"/>
  <c r="M22" i="1"/>
  <c r="L22" i="1"/>
  <c r="K22" i="1"/>
  <c r="J22" i="1"/>
  <c r="I22" i="1"/>
  <c r="G22" i="1"/>
  <c r="F22" i="1"/>
  <c r="E22" i="1"/>
  <c r="D22" i="1"/>
  <c r="C22" i="1"/>
  <c r="B22" i="1"/>
  <c r="A22" i="1"/>
  <c r="V21" i="1"/>
  <c r="S21" i="1"/>
  <c r="R21" i="1"/>
  <c r="Q21" i="1"/>
  <c r="P21" i="1"/>
  <c r="O21" i="1"/>
  <c r="N21" i="1"/>
  <c r="M21" i="1"/>
  <c r="L21" i="1"/>
  <c r="K21" i="1"/>
  <c r="J21" i="1"/>
  <c r="I21" i="1"/>
  <c r="G21" i="1"/>
  <c r="F21" i="1"/>
  <c r="E21" i="1"/>
  <c r="D21" i="1"/>
  <c r="C21" i="1"/>
  <c r="B21" i="1"/>
  <c r="A21" i="1"/>
  <c r="V20" i="1"/>
  <c r="S20" i="1"/>
  <c r="R20" i="1"/>
  <c r="Q20" i="1"/>
  <c r="P20" i="1"/>
  <c r="O20" i="1"/>
  <c r="N20" i="1"/>
  <c r="M20" i="1"/>
  <c r="L20" i="1"/>
  <c r="K20" i="1"/>
  <c r="J20" i="1"/>
  <c r="I20" i="1"/>
  <c r="G20" i="1"/>
  <c r="F20" i="1"/>
  <c r="E20" i="1"/>
  <c r="D20" i="1"/>
  <c r="C20" i="1"/>
  <c r="B20" i="1"/>
  <c r="A20" i="1"/>
  <c r="V19" i="1"/>
  <c r="S19" i="1"/>
  <c r="R19" i="1"/>
  <c r="Q19" i="1"/>
  <c r="P19" i="1"/>
  <c r="O19" i="1"/>
  <c r="N19" i="1"/>
  <c r="M19" i="1"/>
  <c r="L19" i="1"/>
  <c r="K19" i="1"/>
  <c r="J19" i="1"/>
  <c r="I19" i="1"/>
  <c r="G19" i="1"/>
  <c r="F19" i="1"/>
  <c r="E19" i="1"/>
  <c r="D19" i="1"/>
  <c r="C19" i="1"/>
  <c r="B19" i="1"/>
  <c r="A19" i="1"/>
  <c r="V18" i="1"/>
  <c r="S18" i="1"/>
  <c r="R18" i="1"/>
  <c r="Q18" i="1"/>
  <c r="P18" i="1"/>
  <c r="O18" i="1"/>
  <c r="N18" i="1"/>
  <c r="M18" i="1"/>
  <c r="L18" i="1"/>
  <c r="K18" i="1"/>
  <c r="J18" i="1"/>
  <c r="I18" i="1"/>
  <c r="G18" i="1"/>
  <c r="F18" i="1"/>
  <c r="E18" i="1"/>
  <c r="D18" i="1"/>
  <c r="C18" i="1"/>
  <c r="B18" i="1"/>
  <c r="A18" i="1"/>
  <c r="V17" i="1"/>
  <c r="S17" i="1"/>
  <c r="R17" i="1"/>
  <c r="Q17" i="1"/>
  <c r="P17" i="1"/>
  <c r="O17" i="1"/>
  <c r="N17" i="1"/>
  <c r="M17" i="1"/>
  <c r="L17" i="1"/>
  <c r="K17" i="1"/>
  <c r="J17" i="1"/>
  <c r="I17" i="1"/>
  <c r="G17" i="1"/>
  <c r="F17" i="1"/>
  <c r="E17" i="1"/>
  <c r="D17" i="1"/>
  <c r="C17" i="1"/>
  <c r="B17" i="1"/>
  <c r="A17" i="1"/>
  <c r="V16" i="1"/>
  <c r="S16" i="1"/>
  <c r="R16" i="1"/>
  <c r="Q16" i="1"/>
  <c r="P16" i="1"/>
  <c r="O16" i="1"/>
  <c r="N16" i="1"/>
  <c r="M16" i="1"/>
  <c r="L16" i="1"/>
  <c r="K16" i="1"/>
  <c r="J16" i="1"/>
  <c r="I16" i="1"/>
  <c r="G16" i="1"/>
  <c r="F16" i="1"/>
  <c r="E16" i="1"/>
  <c r="D16" i="1"/>
  <c r="C16" i="1"/>
  <c r="B16" i="1"/>
  <c r="A16" i="1"/>
  <c r="V15" i="1"/>
  <c r="S15" i="1"/>
  <c r="R15" i="1"/>
  <c r="Q15" i="1"/>
  <c r="P15" i="1"/>
  <c r="O15" i="1"/>
  <c r="N15" i="1"/>
  <c r="M15" i="1"/>
  <c r="L15" i="1"/>
  <c r="K15" i="1"/>
  <c r="J15" i="1"/>
  <c r="I15" i="1"/>
  <c r="G15" i="1"/>
  <c r="F15" i="1"/>
  <c r="E15" i="1"/>
  <c r="D15" i="1"/>
  <c r="C15" i="1"/>
  <c r="B15" i="1"/>
  <c r="A15" i="1"/>
  <c r="V14" i="1"/>
  <c r="S14" i="1"/>
  <c r="R14" i="1"/>
  <c r="Q14" i="1"/>
  <c r="P14" i="1"/>
  <c r="O14" i="1"/>
  <c r="N14" i="1"/>
  <c r="M14" i="1"/>
  <c r="L14" i="1"/>
  <c r="K14" i="1"/>
  <c r="J14" i="1"/>
  <c r="I14" i="1"/>
  <c r="G14" i="1"/>
  <c r="F14" i="1"/>
  <c r="E14" i="1"/>
  <c r="D14" i="1"/>
  <c r="C14" i="1"/>
  <c r="B14" i="1"/>
  <c r="A14" i="1"/>
  <c r="V13" i="1"/>
  <c r="S13" i="1"/>
  <c r="R13" i="1"/>
  <c r="Q13" i="1"/>
  <c r="P13" i="1"/>
  <c r="O13" i="1"/>
  <c r="N13" i="1"/>
  <c r="M13" i="1"/>
  <c r="L13" i="1"/>
  <c r="K13" i="1"/>
  <c r="J13" i="1"/>
  <c r="I13" i="1"/>
  <c r="G13" i="1"/>
  <c r="F13" i="1"/>
  <c r="E13" i="1"/>
  <c r="D13" i="1"/>
  <c r="C13" i="1"/>
  <c r="B13" i="1"/>
  <c r="A13" i="1"/>
  <c r="V12" i="1"/>
  <c r="S12" i="1"/>
  <c r="R12" i="1"/>
  <c r="Q12" i="1"/>
  <c r="P12" i="1"/>
  <c r="O12" i="1"/>
  <c r="N12" i="1"/>
  <c r="M12" i="1"/>
  <c r="L12" i="1"/>
  <c r="K12" i="1"/>
  <c r="J12" i="1"/>
  <c r="I12" i="1"/>
  <c r="G12" i="1"/>
  <c r="F12" i="1"/>
  <c r="E12" i="1"/>
  <c r="D12" i="1"/>
  <c r="C12" i="1"/>
  <c r="B12" i="1"/>
  <c r="A12" i="1"/>
  <c r="V11" i="1"/>
  <c r="S11" i="1"/>
  <c r="R11" i="1"/>
  <c r="Q11" i="1"/>
  <c r="P11" i="1"/>
  <c r="O11" i="1"/>
  <c r="N11" i="1"/>
  <c r="M11" i="1"/>
  <c r="L11" i="1"/>
  <c r="K11" i="1"/>
  <c r="J11" i="1"/>
  <c r="I11" i="1"/>
  <c r="G11" i="1"/>
  <c r="F11" i="1"/>
  <c r="E11" i="1"/>
  <c r="D11" i="1"/>
  <c r="C11" i="1"/>
  <c r="B11" i="1"/>
  <c r="A11" i="1"/>
  <c r="V10" i="1"/>
  <c r="S10" i="1"/>
  <c r="R10" i="1"/>
  <c r="Q10" i="1"/>
  <c r="P10" i="1"/>
  <c r="O10" i="1"/>
  <c r="N10" i="1"/>
  <c r="M10" i="1"/>
  <c r="L10" i="1"/>
  <c r="K10" i="1"/>
  <c r="J10" i="1"/>
  <c r="I10" i="1"/>
  <c r="G10" i="1"/>
  <c r="F10" i="1"/>
  <c r="E10" i="1"/>
  <c r="D10" i="1"/>
  <c r="C10" i="1"/>
  <c r="B10" i="1"/>
  <c r="A10" i="1"/>
  <c r="V9" i="1"/>
  <c r="S9" i="1"/>
  <c r="R9" i="1"/>
  <c r="Q9" i="1"/>
  <c r="P9" i="1"/>
  <c r="O9" i="1"/>
  <c r="N9" i="1"/>
  <c r="M9" i="1"/>
  <c r="L9" i="1"/>
  <c r="K9" i="1"/>
  <c r="J9" i="1"/>
  <c r="I9" i="1"/>
  <c r="G9" i="1"/>
  <c r="F9" i="1"/>
  <c r="E9" i="1"/>
  <c r="D9" i="1"/>
  <c r="C9" i="1"/>
  <c r="B9" i="1"/>
  <c r="A9" i="1"/>
  <c r="V8" i="1"/>
  <c r="S8" i="1"/>
  <c r="R8" i="1"/>
  <c r="Q8" i="1"/>
  <c r="P8" i="1"/>
  <c r="O8" i="1"/>
  <c r="N8" i="1"/>
  <c r="M8" i="1"/>
  <c r="L8" i="1"/>
  <c r="K8" i="1"/>
  <c r="J8" i="1"/>
  <c r="I8" i="1"/>
  <c r="G8" i="1"/>
  <c r="F8" i="1"/>
  <c r="E8" i="1"/>
  <c r="D8" i="1"/>
  <c r="C8" i="1"/>
  <c r="B8" i="1"/>
  <c r="A8" i="1"/>
  <c r="V7" i="1"/>
  <c r="S7" i="1"/>
  <c r="R7" i="1"/>
  <c r="Q7" i="1"/>
  <c r="P7" i="1"/>
  <c r="O7" i="1"/>
  <c r="N7" i="1"/>
  <c r="M7" i="1"/>
  <c r="L7" i="1"/>
  <c r="K7" i="1"/>
  <c r="J7" i="1"/>
  <c r="I7" i="1"/>
  <c r="G7" i="1"/>
  <c r="F7" i="1"/>
  <c r="E7" i="1"/>
  <c r="D7" i="1"/>
  <c r="C7" i="1"/>
  <c r="B7" i="1"/>
  <c r="A7" i="1"/>
  <c r="V6" i="1"/>
  <c r="S6" i="1"/>
  <c r="R6" i="1"/>
  <c r="Q6" i="1"/>
  <c r="P6" i="1"/>
  <c r="O6" i="1"/>
  <c r="N6" i="1"/>
  <c r="M6" i="1"/>
  <c r="L6" i="1"/>
  <c r="K6" i="1"/>
  <c r="J6" i="1"/>
  <c r="I6" i="1"/>
  <c r="G6" i="1"/>
  <c r="F6" i="1"/>
  <c r="E6" i="1"/>
  <c r="D6" i="1"/>
  <c r="C6" i="1"/>
  <c r="B6" i="1"/>
  <c r="A6" i="1"/>
  <c r="V5" i="1"/>
  <c r="S5" i="1"/>
  <c r="R5" i="1"/>
  <c r="Q5" i="1"/>
  <c r="P5" i="1"/>
  <c r="O5" i="1"/>
  <c r="N5" i="1"/>
  <c r="M5" i="1"/>
  <c r="L5" i="1"/>
  <c r="K5" i="1"/>
  <c r="J5" i="1"/>
  <c r="I5" i="1"/>
  <c r="G5" i="1"/>
  <c r="F5" i="1"/>
  <c r="E5" i="1"/>
  <c r="D5" i="1"/>
  <c r="C5" i="1"/>
  <c r="B5" i="1"/>
  <c r="A5" i="1"/>
  <c r="V4" i="1"/>
  <c r="S4" i="1"/>
  <c r="R4" i="1"/>
  <c r="Q4" i="1"/>
  <c r="P4" i="1"/>
  <c r="O4" i="1"/>
  <c r="N4" i="1"/>
  <c r="M4" i="1"/>
  <c r="L4" i="1"/>
  <c r="K4" i="1"/>
  <c r="J4" i="1"/>
  <c r="I4" i="1"/>
  <c r="G4" i="1"/>
  <c r="F4" i="1"/>
  <c r="E4" i="1"/>
  <c r="D4" i="1"/>
  <c r="C4" i="1"/>
  <c r="B4" i="1"/>
  <c r="A4" i="1"/>
  <c r="V3" i="1"/>
  <c r="S3" i="1"/>
  <c r="R3" i="1"/>
  <c r="Q3" i="1"/>
  <c r="P3" i="1"/>
  <c r="O3" i="1"/>
  <c r="N3" i="1"/>
  <c r="M3" i="1"/>
  <c r="L3" i="1"/>
  <c r="K3" i="1"/>
  <c r="J3" i="1"/>
  <c r="I3" i="1"/>
  <c r="G3" i="1"/>
  <c r="F3" i="1"/>
  <c r="E3" i="1"/>
  <c r="D3" i="1"/>
  <c r="C3" i="1"/>
  <c r="B3" i="1"/>
  <c r="A3" i="1"/>
  <c r="V2" i="1"/>
  <c r="S2" i="1"/>
  <c r="R2" i="1"/>
  <c r="Q2" i="1"/>
  <c r="P2" i="1"/>
  <c r="O2" i="1"/>
  <c r="N2" i="1"/>
  <c r="M2" i="1"/>
  <c r="L2" i="1"/>
  <c r="K2" i="1"/>
  <c r="J2" i="1"/>
  <c r="I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<sst xmlns="http://schemas.openxmlformats.org/spreadsheetml/2006/main" count="222" uniqueCount="132">
  <si>
    <t>fid</t>
  </si>
  <si>
    <t>Parent_Unit_ID</t>
  </si>
  <si>
    <t>Unit_ID</t>
  </si>
  <si>
    <t>Child_Unit_ID</t>
  </si>
  <si>
    <t>Location_Description</t>
  </si>
  <si>
    <t>LOCATION_Description</t>
  </si>
  <si>
    <t>Material</t>
  </si>
  <si>
    <t>Asset_Type</t>
  </si>
  <si>
    <t>Length (m)</t>
  </si>
  <si>
    <t>Construction_Year (year)</t>
  </si>
  <si>
    <t>Replacement_Cost ($)</t>
  </si>
  <si>
    <t>Condition_Rating
(1-5)</t>
  </si>
  <si>
    <t>Fair_Value_Valuation ($)</t>
  </si>
  <si>
    <t>Useful_Life (years)</t>
  </si>
  <si>
    <t>Remaining_Useful_Life (years)</t>
  </si>
  <si>
    <t>Residual_Value ($)</t>
  </si>
  <si>
    <t>Depreciation_Method_Rate</t>
  </si>
  <si>
    <t>Depreciation_Expense ($)</t>
  </si>
  <si>
    <t>Accumulated_Depreciation ($)</t>
  </si>
  <si>
    <t>AASB13 Input Level
(1-3)</t>
  </si>
  <si>
    <t>Depreciation Method</t>
  </si>
  <si>
    <t>Date_of_Inspection</t>
  </si>
  <si>
    <t>Photo_1</t>
  </si>
  <si>
    <t>Photo_2</t>
  </si>
  <si>
    <t>Photo_3</t>
  </si>
  <si>
    <t>Wall</t>
  </si>
  <si>
    <t>Straight Line</t>
  </si>
  <si>
    <t>files/riverwall-assets_20260508144500931_image_0007.jpg</t>
  </si>
  <si>
    <t>files/riverwall-assets_20260508144517594_image_0007.jpg</t>
  </si>
  <si>
    <t>files/riverwall-assets_20260508144802939_image_0007.jpg</t>
  </si>
  <si>
    <t>files/riverwall-assets_20260508143931494_image_0007.jpg</t>
  </si>
  <si>
    <t>files/riverwall-assets_20260508144248151_image_0007.jpg</t>
  </si>
  <si>
    <t>files/riverwall-assets_20260508144308785_image_0007.jpg</t>
  </si>
  <si>
    <t>files/riverwall-assets_20260508155334736_image_0007.jpg</t>
  </si>
  <si>
    <t>files/riverwall-assets_20260508152842910_image_0007.jpg</t>
  </si>
  <si>
    <t>files/riverwall-assets_20260508153219904_image_0007.jpg</t>
  </si>
  <si>
    <t>files/riverwall-assets_20260508153514598_image_0007.jpg</t>
  </si>
  <si>
    <t>files/riverwall-assets_20260508150932691_image_0007.jpg</t>
  </si>
  <si>
    <t>files/riverwall-assets_20260508151157976_image_0007.jpg</t>
  </si>
  <si>
    <t>files/riverwall-assets_20260508151212761_image_0007.jpg</t>
  </si>
  <si>
    <t>files/riverwall-assets_20260508163927783_image_0007.jpg</t>
  </si>
  <si>
    <t>files/riverwall-assets_20260508163942051_image_0007.jpg</t>
  </si>
  <si>
    <t>files/riverwall-assets_20260508163811968_image_0007.jpg</t>
  </si>
  <si>
    <t>files/riverwall-assets_20260508163828764_image_0007.jpg</t>
  </si>
  <si>
    <t>files/riverwall-assets_20260508163838218_image_0007.jpg</t>
  </si>
  <si>
    <t>files/riverwall-assets_20260508162810975_image_0007.jpg</t>
  </si>
  <si>
    <t>files/riverwall-assets_20260508162907509_image_0007.jpg</t>
  </si>
  <si>
    <t>files/riverwall-assets_20260507122155748_image_0005.jpg</t>
  </si>
  <si>
    <t>files/riverwall-assets_20260507122345006_image_0005.jpg</t>
  </si>
  <si>
    <t>files/riverwall-assets_20260507122800971_image_0005.jpg</t>
  </si>
  <si>
    <t>files/riverwall-assets_20260507114616144_image_0005.jpg</t>
  </si>
  <si>
    <t>files/riverwall-assets_20260507114809106_image_0005.jpg</t>
  </si>
  <si>
    <t>files/riverwall-assets_20260507115333079_image_0005.jpg</t>
  </si>
  <si>
    <t>files/riverwall-assets_20260507114315159_image_0004.jpg</t>
  </si>
  <si>
    <t>files/riverwall-assets_20260507114409274_image_0004.jpg</t>
  </si>
  <si>
    <t>files/riverwall-assets_20260507113908285_image_0003.jpg</t>
  </si>
  <si>
    <t>files/riverwall-assets_20260507114141208_image_0003.jpg</t>
  </si>
  <si>
    <t>files/riverwall-assets_20260507113246540_image_0003.jpg</t>
  </si>
  <si>
    <t>files/riverwall-assets_20260507113255017_image_0003.jpg</t>
  </si>
  <si>
    <t>files/riverwall-assets_20260507110324929_image_0002.jpg</t>
  </si>
  <si>
    <t>files/riverwall-assets_20260507111006248_image_0002.jpg</t>
  </si>
  <si>
    <t>files/riverwall-assets_20260507111154717_image_0003.jpg</t>
  </si>
  <si>
    <t>files/riverwall-assets_20260507131219925_image_0005.jpg</t>
  </si>
  <si>
    <t>files/riverwall-assets_20260507132003312_image_0006.jpg</t>
  </si>
  <si>
    <t>files/riverwall-assets_20260507131859460_image_0006.jpg</t>
  </si>
  <si>
    <t>files/riverwall-assets_20260507150923104_image_0007.jpg</t>
  </si>
  <si>
    <t>files/riverwall-assets_20260507150554263_image_0007.jpg</t>
  </si>
  <si>
    <t>files/riverwall-assets_20260507133312885_image_0007.jpg</t>
  </si>
  <si>
    <t>files/riverwall-assets_20260510154445509_image_0008.jpg</t>
  </si>
  <si>
    <t>files/riverwall-assets_20260510154556886_image_0008.jpg</t>
  </si>
  <si>
    <t>files/riverwall-assets_20260510125819176_image_0007.jpg</t>
  </si>
  <si>
    <t>files/riverwall-assets_20260510154135870_image_0007.jpg</t>
  </si>
  <si>
    <t>files/riverwall-assets_20260510154219481_image_0007.jpg</t>
  </si>
  <si>
    <t>files/riverwall-assets_20260510153548944_image_0007.jpg</t>
  </si>
  <si>
    <t>files/riverwall-assets_20260510153610541_image_0007.jpg</t>
  </si>
  <si>
    <t>files/riverwall-assets_20260510153756152_image_0007.jpg</t>
  </si>
  <si>
    <t>files/riverwall-assets_20260510153349644_image_0007.jpg</t>
  </si>
  <si>
    <t>files/riverwall-assets_20260510153357997_image_0007.jpg</t>
  </si>
  <si>
    <t>files/riverwall-assets_20260510153437592_image_0007.jpg</t>
  </si>
  <si>
    <t>files/riverwall-assets_20260508135558038_image_0007.jpg</t>
  </si>
  <si>
    <t>files/riverwall-assets_20260508135649961_image_0007.jpg</t>
  </si>
  <si>
    <t>files/riverwall-assets_20260508142251480_image_0007.jpg</t>
  </si>
  <si>
    <t>files/riverwall-assets_20260508142306500_image_0007.jpg</t>
  </si>
  <si>
    <t>files/riverwall-assets_20260510151902852_image_0007.jpg</t>
  </si>
  <si>
    <t>files/riverwall-assets_20260510152216249_image_0007.jpg</t>
  </si>
  <si>
    <t>files/riverwall-assets_20260510152230285_image_0007.jpg</t>
  </si>
  <si>
    <t>files/riverwall-assets_20260510152858776_image_0007.jpg</t>
  </si>
  <si>
    <t>files/riverwall-assets_20260510152913954_image_0007.jpg</t>
  </si>
  <si>
    <t>files/riverwall-assets_20260508151327106_image_0007.jpg</t>
  </si>
  <si>
    <t>files/riverwall-assets_20260508151413703_image_0007.jpg</t>
  </si>
  <si>
    <t>files/riverwall-assets_20260508151500631_image_0007.jpg</t>
  </si>
  <si>
    <t>files/riverwall-assets_20260508145014765_image_0007.jpg</t>
  </si>
  <si>
    <t>files/riverwall-assets_20260508145308562_image_0007.jpg</t>
  </si>
  <si>
    <t>files/riverwall-assets_20260508145524882_image_0007.jpg</t>
  </si>
  <si>
    <t>files/riverwall-assets_20260508154640611_image_0007.jpg</t>
  </si>
  <si>
    <t>files/riverwall-assets_20260508154843155_image_0007.jpg</t>
  </si>
  <si>
    <t>files/riverwall-assets_20260508151619187_image_0007.jpg</t>
  </si>
  <si>
    <t>files/riverwall-assets_20260508151705259_image_0007.jpg</t>
  </si>
  <si>
    <t>files/riverwall-assets_20260508151753668_image_0007.jpg</t>
  </si>
  <si>
    <t>files/riverwall-assets_20260508152252352_image_0007.jpg</t>
  </si>
  <si>
    <t>files/riverwall-assets_20260508152430832_image_0007.jpg</t>
  </si>
  <si>
    <t>files/riverwall-assets_20260508163236376_image_0007.jpg</t>
  </si>
  <si>
    <t>files/riverwall-assets_20260508163358747_image_0007.jpg</t>
  </si>
  <si>
    <t>files/riverwall-assets_20260508163403633_image_0007.jpg</t>
  </si>
  <si>
    <t>files/riverwall-assets_20260508163522228_image_0007.jpg</t>
  </si>
  <si>
    <t>files/riverwall-assets_20260508163637997_image_0007.jpg</t>
  </si>
  <si>
    <t>files/riverwall-assets_20260508163714056_image_0007.jpg</t>
  </si>
  <si>
    <t>files/riverwall-assets_20260508135923429_image_0007.jpg</t>
  </si>
  <si>
    <t>files/riverwall-assets_20260508140355056_image_0007.jpg</t>
  </si>
  <si>
    <t>files/riverwall-assets_20260508140404165_image_0007.jpg</t>
  </si>
  <si>
    <t>files/riverwall-assets_20260508134837943_image_0007.jpg</t>
  </si>
  <si>
    <t>files/riverwall-assets_20260508134853199_image_0007.jpg</t>
  </si>
  <si>
    <t>files/riverwall-assets_20260508132140020_image_0007.jpg</t>
  </si>
  <si>
    <t>files/riverwall-assets_20260508132156583_image_0007.jpg</t>
  </si>
  <si>
    <t>files/riverwall-assets_20260508132641741_image_0007.jpg</t>
  </si>
  <si>
    <t>files/riverwall-assets_20260507111600397_image_0003.jpg</t>
  </si>
  <si>
    <t>files/riverwall-assets_20260507111632129_image_0003.jpg</t>
  </si>
  <si>
    <t>files/riverwall-assets_20260507113516762_image_0003.jpg</t>
  </si>
  <si>
    <t>files/riverwall-assets_20260507132537068_image_0007.jpg</t>
  </si>
  <si>
    <t>files/riverwall-assets_20260507132606556_image_0007.jpg</t>
  </si>
  <si>
    <t>files/riverwall-assets_20260507132618982_image_0007.jpg</t>
  </si>
  <si>
    <t>files/riverwall-assets_20260508140118284_image_0007.jpg</t>
  </si>
  <si>
    <t>files/riverwall-assets_20260508140127402_image_0007.jpg</t>
  </si>
  <si>
    <t>files/riverwall-assets_20260508145936536_image_0007.jpg</t>
  </si>
  <si>
    <t>files/riverwall-assets_20260508145834409_image_0007.jpg</t>
  </si>
  <si>
    <t>files/riverwall-assets_20260508150134099_image_0007.jpg</t>
  </si>
  <si>
    <t>files/riverwall-assets_20260508152133914_image_0007.jpg</t>
  </si>
  <si>
    <t>files/riverwall-assets_20260508155117537_image_0007.jpg</t>
  </si>
  <si>
    <t>files/riverwall-assets_20260508155137225_image_0007.jpg</t>
  </si>
  <si>
    <t>files/riverwall-assets_20260508163121347_image_0007.jpg</t>
  </si>
  <si>
    <t>files/riverwall-assets_20260508163131624_image_0007.jpg</t>
  </si>
  <si>
    <t>files/riverwall-assets_20260510154008514_image_0007.jpg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</si>
</sst>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* #,##0_-;\-&quot;$&quot;* #,##0_-;_-&quot;$&quot;* &quot;-&quot;_-;_-@_-"/>
    <numFmt numFmtId="41" formatCode="_-* #,##0_-;\-* #,##0_-;_-* &quot;-&quot;_-;_-@_-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rgb="FFFFFFFF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1" fontId="3" fillId="0" borderId="0" xfId="0" applyNumberFormat="1" applyFont="1"/>
    <xf numFmtId="1" fontId="3" fillId="0" borderId="0" xfId="0" applyNumberFormat="1" applyFont="1" applyAlignment="1">
      <alignment horizontal="center"/>
    </xf>
    <xf numFmtId="41" fontId="0" fillId="0" borderId="0" xfId="0" applyNumberFormat="1"/>
    <xf numFmtId="1" fontId="3" fillId="0" borderId="0" xfId="0" applyNumberFormat="1" applyFont="1"/>
    <xf numFmtId="10" fontId="3" fillId="0" borderId="0" xfId="0" applyNumberFormat="1" applyFont="1"/>
    <xf numFmtId="14" fontId="0" fillId="0" borderId="0" xfId="0" applyNumberFormat="1"/>
    <xf numFmtId="0" fontId="1" fillId="0" borderId="0" xfId="1"/>
    <xf numFmtId="1" fontId="0" fillId="0" borderId="0" xfId="0" applyNumberFormat="1"/>
    <xf numFmtId="4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netorgft15486557-my.sharepoint.com/personal/damian_fieldsadvisory_com_au/Documents/7.%20Fields%20Advisory/04.%20Client%20Files/02.%20Public/19.%20Perth,%20City%20of%20-%20019/05.%20Calculations%20&amp;%20Deliverables/CoP%20Riverwall%20Calculation%20Sheet%20-%20FAv1.xlsm" TargetMode="External"/><Relationship Id="rId2" Type="http://schemas.microsoft.com/office/2019/04/relationships/externalLinkLongPath" Target="https://netorgft15486557-my.sharepoint.com/personal/damian_fieldsadvisory_com_au/Documents/7.%20Fields%20Advisory/04.%20Client%20Files/02.%20Public/19.%20Perth,%20City%20of%20-%20019/05.%20Calculations%20&amp;%20Deliverables/CoP%20Riverwall%20Calculation%20Sheet%20-%20FAv1.xlsm?585602E6" TargetMode="External"/><Relationship Id="rId1" Type="http://schemas.openxmlformats.org/officeDocument/2006/relationships/externalLinkPath" Target="file:///\\585602E6\CoP%20Riverwall%20Calculation%20Sheet%20-%20FAv1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whitt/Documents/13%20componets%20extrax.xlsx" TargetMode="External"/><Relationship Id="rId1" Type="http://schemas.openxmlformats.org/officeDocument/2006/relationships/externalLinkPath" Target="/Users/whitt/Documents/13%20componets%20extra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troduction Page"/>
      <sheetName val="Rawlinsons BCI"/>
      <sheetName val="Formula"/>
      <sheetName val="Regional Indices"/>
      <sheetName val="Rawlinsons Data (Export)"/>
      <sheetName val="Riverwall Calculations"/>
      <sheetName val="Rate Library"/>
      <sheetName val="Summary - FR"/>
      <sheetName val="Cover"/>
      <sheetName val="FV Riverwall"/>
      <sheetName val="Building Costs per m2"/>
      <sheetName val="Supplementary Rates"/>
      <sheetName val="Elemental Costs"/>
      <sheetName val="Detailed Prices"/>
      <sheetName val="Labour &amp; Plant"/>
      <sheetName val="Other"/>
    </sheetNames>
    <sheetDataSet>
      <sheetData sheetId="0">
        <row r="19">
          <cell r="D19">
            <v>2</v>
          </cell>
        </row>
      </sheetData>
      <sheetData sheetId="1"/>
      <sheetData sheetId="2">
        <row r="2">
          <cell r="T2" t="str">
            <v>Description</v>
          </cell>
          <cell r="U2" t="str">
            <v>Superstructure Material</v>
          </cell>
        </row>
        <row r="3">
          <cell r="G3">
            <v>0</v>
          </cell>
          <cell r="I3">
            <v>100</v>
          </cell>
          <cell r="M3">
            <v>0</v>
          </cell>
          <cell r="O3">
            <v>10</v>
          </cell>
          <cell r="T3" t="str">
            <v>Administration Office Single Storey</v>
          </cell>
          <cell r="U3" t="str">
            <v>Metal</v>
          </cell>
        </row>
        <row r="4">
          <cell r="G4">
            <v>500</v>
          </cell>
          <cell r="I4">
            <v>100</v>
          </cell>
          <cell r="M4">
            <v>0.1</v>
          </cell>
          <cell r="O4">
            <v>9</v>
          </cell>
          <cell r="T4" t="str">
            <v>Administration Office Single Storey</v>
          </cell>
          <cell r="U4" t="str">
            <v>Brick</v>
          </cell>
        </row>
        <row r="5">
          <cell r="G5">
            <v>1000</v>
          </cell>
          <cell r="I5">
            <v>200</v>
          </cell>
          <cell r="M5">
            <v>0.2</v>
          </cell>
          <cell r="O5">
            <v>8</v>
          </cell>
          <cell r="T5" t="str">
            <v>Administration Office Single Storey</v>
          </cell>
          <cell r="U5" t="str">
            <v>Concrete</v>
          </cell>
        </row>
        <row r="6">
          <cell r="G6">
            <v>5000</v>
          </cell>
          <cell r="I6">
            <v>200</v>
          </cell>
          <cell r="M6">
            <v>0.3</v>
          </cell>
          <cell r="O6">
            <v>7</v>
          </cell>
          <cell r="T6" t="str">
            <v>Administration Office Single Storey</v>
          </cell>
          <cell r="U6" t="str">
            <v>Timber</v>
          </cell>
        </row>
        <row r="7">
          <cell r="G7">
            <v>10000</v>
          </cell>
          <cell r="I7">
            <v>500</v>
          </cell>
          <cell r="M7">
            <v>0.4</v>
          </cell>
          <cell r="O7">
            <v>6</v>
          </cell>
          <cell r="T7" t="str">
            <v>Administration Office Single Storey</v>
          </cell>
          <cell r="U7" t="str">
            <v>Fibro</v>
          </cell>
        </row>
        <row r="8">
          <cell r="G8">
            <v>50000</v>
          </cell>
          <cell r="I8">
            <v>1000</v>
          </cell>
          <cell r="M8">
            <v>0.5</v>
          </cell>
          <cell r="O8">
            <v>5</v>
          </cell>
          <cell r="T8" t="str">
            <v>Administration Office 2-3 Storey</v>
          </cell>
          <cell r="U8" t="str">
            <v>Metal</v>
          </cell>
        </row>
        <row r="9">
          <cell r="G9">
            <v>100000</v>
          </cell>
          <cell r="I9">
            <v>2000</v>
          </cell>
          <cell r="M9">
            <v>0.6</v>
          </cell>
          <cell r="O9">
            <v>4</v>
          </cell>
          <cell r="T9" t="str">
            <v>Administration Office 2-3 Storey</v>
          </cell>
          <cell r="U9" t="str">
            <v>Brick</v>
          </cell>
        </row>
        <row r="10">
          <cell r="G10">
            <v>250000</v>
          </cell>
          <cell r="I10">
            <v>5000</v>
          </cell>
          <cell r="M10">
            <v>0.7</v>
          </cell>
          <cell r="O10">
            <v>3</v>
          </cell>
          <cell r="T10" t="str">
            <v>Administration Office 2-3 Storey</v>
          </cell>
          <cell r="U10" t="str">
            <v>Concrete</v>
          </cell>
        </row>
        <row r="11">
          <cell r="G11">
            <v>500000</v>
          </cell>
          <cell r="I11">
            <v>10000</v>
          </cell>
          <cell r="M11">
            <v>0.8</v>
          </cell>
          <cell r="O11">
            <v>2</v>
          </cell>
          <cell r="T11" t="str">
            <v>Administration Office 2-3 Storey</v>
          </cell>
          <cell r="U11" t="str">
            <v>Timber</v>
          </cell>
        </row>
        <row r="12">
          <cell r="G12">
            <v>1000000</v>
          </cell>
          <cell r="I12">
            <v>10000</v>
          </cell>
          <cell r="M12">
            <v>0.9</v>
          </cell>
          <cell r="O12">
            <v>1</v>
          </cell>
          <cell r="T12" t="str">
            <v>Administration Office 2-3 Storey</v>
          </cell>
          <cell r="U12" t="str">
            <v>Fibro</v>
          </cell>
        </row>
        <row r="13">
          <cell r="G13">
            <v>25000000</v>
          </cell>
          <cell r="I13">
            <v>500000</v>
          </cell>
          <cell r="M13">
            <v>0.95</v>
          </cell>
          <cell r="O13">
            <v>0</v>
          </cell>
          <cell r="T13" t="str">
            <v>Administration Office 3-10 Storey</v>
          </cell>
          <cell r="U13" t="str">
            <v>Metal</v>
          </cell>
        </row>
        <row r="14">
          <cell r="G14">
            <v>50000000</v>
          </cell>
          <cell r="I14">
            <v>1000000</v>
          </cell>
          <cell r="T14" t="str">
            <v>Administration Office 3-10 Storey</v>
          </cell>
          <cell r="U14" t="str">
            <v>Brick</v>
          </cell>
        </row>
        <row r="15">
          <cell r="T15" t="str">
            <v>Administration Office 3-10 Storey</v>
          </cell>
          <cell r="U15" t="str">
            <v>Concrete</v>
          </cell>
        </row>
        <row r="16">
          <cell r="T16" t="str">
            <v>Administration Office 3-10 Storey</v>
          </cell>
          <cell r="U16" t="str">
            <v>Timber</v>
          </cell>
        </row>
        <row r="17">
          <cell r="T17" t="str">
            <v>Administration Office 3-10 Storey</v>
          </cell>
          <cell r="U17" t="str">
            <v>Fibro</v>
          </cell>
        </row>
        <row r="18">
          <cell r="T18" t="str">
            <v>City Hall 2000 Capacity</v>
          </cell>
          <cell r="U18" t="str">
            <v>Metal</v>
          </cell>
        </row>
        <row r="19">
          <cell r="M19">
            <v>0</v>
          </cell>
          <cell r="O19">
            <v>5</v>
          </cell>
          <cell r="T19" t="str">
            <v>City Hall 2000 Capacity</v>
          </cell>
          <cell r="U19" t="str">
            <v>Brick</v>
          </cell>
        </row>
        <row r="20">
          <cell r="M20">
            <v>0.1</v>
          </cell>
          <cell r="O20">
            <v>4</v>
          </cell>
          <cell r="T20" t="str">
            <v>City Hall 2000 Capacity</v>
          </cell>
          <cell r="U20" t="str">
            <v>Concrete</v>
          </cell>
        </row>
        <row r="21">
          <cell r="M21">
            <v>0.2</v>
          </cell>
          <cell r="O21">
            <v>3</v>
          </cell>
          <cell r="T21" t="str">
            <v>City Hall 2000 Capacity</v>
          </cell>
          <cell r="U21" t="str">
            <v>Timber</v>
          </cell>
        </row>
        <row r="22">
          <cell r="M22">
            <v>0.3</v>
          </cell>
          <cell r="O22">
            <v>2</v>
          </cell>
          <cell r="T22" t="str">
            <v>City Hall 2000 Capacity</v>
          </cell>
          <cell r="U22" t="str">
            <v>Fibro</v>
          </cell>
        </row>
        <row r="23">
          <cell r="M23">
            <v>0.55000000000000004</v>
          </cell>
          <cell r="O23">
            <v>1</v>
          </cell>
          <cell r="T23" t="str">
            <v>Town Hall 1000 Capacity</v>
          </cell>
          <cell r="U23" t="str">
            <v>Metal</v>
          </cell>
        </row>
        <row r="24">
          <cell r="T24" t="str">
            <v>Town Hall 1000 Capacity</v>
          </cell>
          <cell r="U24" t="str">
            <v>Brick</v>
          </cell>
        </row>
        <row r="25">
          <cell r="T25" t="str">
            <v>Town Hall 1000 Capacity</v>
          </cell>
          <cell r="U25" t="str">
            <v>Concrete</v>
          </cell>
        </row>
        <row r="26">
          <cell r="T26" t="str">
            <v>Town Hall 1000 Capacity</v>
          </cell>
          <cell r="U26" t="str">
            <v>Timber</v>
          </cell>
        </row>
        <row r="27">
          <cell r="T27" t="str">
            <v>Town Hall 1000 Capacity</v>
          </cell>
          <cell r="U27" t="str">
            <v>Fibro</v>
          </cell>
        </row>
        <row r="28">
          <cell r="T28" t="str">
            <v>Civic Centre 300-500 Capacity</v>
          </cell>
          <cell r="U28" t="str">
            <v>Metal</v>
          </cell>
        </row>
        <row r="29">
          <cell r="M29">
            <v>1</v>
          </cell>
          <cell r="N29">
            <v>0.1</v>
          </cell>
          <cell r="T29" t="str">
            <v>Civic Centre 300-500 Capacity</v>
          </cell>
          <cell r="U29" t="str">
            <v>Brick</v>
          </cell>
        </row>
        <row r="30">
          <cell r="M30">
            <v>2</v>
          </cell>
          <cell r="N30">
            <v>0.2</v>
          </cell>
          <cell r="T30" t="str">
            <v>Civic Centre 300-500 Capacity</v>
          </cell>
          <cell r="U30" t="str">
            <v>Concrete</v>
          </cell>
        </row>
        <row r="31">
          <cell r="M31">
            <v>3</v>
          </cell>
          <cell r="N31">
            <v>0.3</v>
          </cell>
          <cell r="T31" t="str">
            <v>Civic Centre 300-500 Capacity</v>
          </cell>
          <cell r="U31" t="str">
            <v>Timber</v>
          </cell>
        </row>
        <row r="32">
          <cell r="M32">
            <v>4</v>
          </cell>
          <cell r="N32">
            <v>0.4</v>
          </cell>
          <cell r="T32" t="str">
            <v>Civic Centre 300-500 Capacity</v>
          </cell>
          <cell r="U32" t="str">
            <v>Fibro</v>
          </cell>
        </row>
        <row r="33">
          <cell r="M33">
            <v>5</v>
          </cell>
          <cell r="N33">
            <v>0.5</v>
          </cell>
          <cell r="T33" t="str">
            <v>Public Toilets</v>
          </cell>
          <cell r="U33" t="str">
            <v>Metal</v>
          </cell>
        </row>
        <row r="34">
          <cell r="M34">
            <v>6</v>
          </cell>
          <cell r="N34">
            <v>0.6</v>
          </cell>
          <cell r="T34" t="str">
            <v>Public Toilets</v>
          </cell>
          <cell r="U34" t="str">
            <v>Brick</v>
          </cell>
        </row>
        <row r="35">
          <cell r="M35">
            <v>7</v>
          </cell>
          <cell r="N35">
            <v>0.7</v>
          </cell>
          <cell r="T35" t="str">
            <v>Public Toilets</v>
          </cell>
          <cell r="U35" t="str">
            <v>Concrete</v>
          </cell>
        </row>
        <row r="36">
          <cell r="M36">
            <v>8</v>
          </cell>
          <cell r="N36">
            <v>0.8</v>
          </cell>
          <cell r="T36" t="str">
            <v>Public Toilets</v>
          </cell>
          <cell r="U36" t="str">
            <v>Timber</v>
          </cell>
        </row>
        <row r="37">
          <cell r="M37">
            <v>9</v>
          </cell>
          <cell r="N37">
            <v>0.9</v>
          </cell>
          <cell r="T37" t="str">
            <v>Public Toilets</v>
          </cell>
          <cell r="U37" t="str">
            <v>Fibro</v>
          </cell>
        </row>
        <row r="38">
          <cell r="M38">
            <v>10</v>
          </cell>
          <cell r="N38">
            <v>1</v>
          </cell>
          <cell r="T38" t="str">
            <v>Club Social/Sporting 1-2 Storey</v>
          </cell>
          <cell r="U38" t="str">
            <v>Metal</v>
          </cell>
        </row>
        <row r="39">
          <cell r="T39" t="str">
            <v>Club Social/Sporting 1-2 Storey</v>
          </cell>
          <cell r="U39" t="str">
            <v>Brick</v>
          </cell>
        </row>
        <row r="40">
          <cell r="T40" t="str">
            <v>Club Social/Sporting 1-2 Storey</v>
          </cell>
          <cell r="U40" t="str">
            <v>Concrete</v>
          </cell>
        </row>
        <row r="41">
          <cell r="T41" t="str">
            <v>Club Social/Sporting 1-2 Storey</v>
          </cell>
          <cell r="U41" t="str">
            <v>Timber</v>
          </cell>
        </row>
        <row r="42">
          <cell r="T42" t="str">
            <v>Club Social/Sporting 1-2 Storey</v>
          </cell>
          <cell r="U42" t="str">
            <v>Fibro</v>
          </cell>
        </row>
        <row r="43">
          <cell r="T43" t="str">
            <v>Warehouse Low Bay Owner Occupation Brick Walls</v>
          </cell>
          <cell r="U43" t="str">
            <v>Brick</v>
          </cell>
        </row>
        <row r="44">
          <cell r="T44" t="str">
            <v>Warehouse Low Bay Owner Occupation Precast or Tilt-up Walls</v>
          </cell>
          <cell r="U44" t="str">
            <v>Concrete</v>
          </cell>
        </row>
        <row r="45">
          <cell r="T45" t="str">
            <v>Warehouse High Bay Owner Occupation Brick Walls</v>
          </cell>
          <cell r="U45" t="str">
            <v>Brick</v>
          </cell>
        </row>
        <row r="46">
          <cell r="T46" t="str">
            <v>Warehouse High Bay Owner Occupation Precast or Tilt-up Walls</v>
          </cell>
          <cell r="U46" t="str">
            <v>Concrete</v>
          </cell>
        </row>
        <row r="47">
          <cell r="T47" t="str">
            <v>Offices, Showrooms, Owner Occupation Single Storey</v>
          </cell>
          <cell r="U47" t="str">
            <v>Metal</v>
          </cell>
        </row>
        <row r="48">
          <cell r="T48" t="str">
            <v>Offices, Showrooms, Owner Occupation Single Storey</v>
          </cell>
          <cell r="U48" t="str">
            <v>Brick</v>
          </cell>
        </row>
        <row r="49">
          <cell r="T49" t="str">
            <v>Offices, Showrooms, Owner Occupation Single Storey</v>
          </cell>
          <cell r="U49" t="str">
            <v>Concrete</v>
          </cell>
        </row>
        <row r="50">
          <cell r="T50" t="str">
            <v>Offices, Showrooms, Owner Occupation Single Storey</v>
          </cell>
          <cell r="U50" t="str">
            <v>Timber</v>
          </cell>
        </row>
        <row r="51">
          <cell r="T51" t="str">
            <v>Offices, Showrooms, Owner Occupation Single Storey</v>
          </cell>
          <cell r="U51" t="str">
            <v>Fibro</v>
          </cell>
        </row>
        <row r="52">
          <cell r="T52" t="str">
            <v>Amenities Owner Occupation Single Storey</v>
          </cell>
          <cell r="U52" t="str">
            <v>Metal</v>
          </cell>
        </row>
        <row r="53">
          <cell r="T53" t="str">
            <v>Amenities Owner Occupation Single Storey</v>
          </cell>
          <cell r="U53" t="str">
            <v>Brick</v>
          </cell>
        </row>
        <row r="54">
          <cell r="T54" t="str">
            <v>Amenities Owner Occupation Single Storey</v>
          </cell>
          <cell r="U54" t="str">
            <v>Concrete</v>
          </cell>
        </row>
        <row r="55">
          <cell r="T55" t="str">
            <v>Amenities Owner Occupation Single Storey</v>
          </cell>
          <cell r="U55" t="str">
            <v>Timber</v>
          </cell>
        </row>
        <row r="56">
          <cell r="T56" t="str">
            <v>Amenities Owner Occupation Single Storey</v>
          </cell>
          <cell r="U56" t="str">
            <v>Fibro</v>
          </cell>
        </row>
        <row r="57">
          <cell r="T57" t="str">
            <v>Maintenance Workshop</v>
          </cell>
          <cell r="U57" t="str">
            <v>Metal</v>
          </cell>
        </row>
        <row r="58">
          <cell r="T58" t="str">
            <v>Maintenance Workshop</v>
          </cell>
          <cell r="U58" t="str">
            <v>Brick</v>
          </cell>
        </row>
        <row r="59">
          <cell r="T59" t="str">
            <v>Maintenance Workshop</v>
          </cell>
          <cell r="U59" t="str">
            <v>Concrete</v>
          </cell>
        </row>
        <row r="60">
          <cell r="T60" t="str">
            <v>Maintenance Workshop</v>
          </cell>
          <cell r="U60" t="str">
            <v>Timber</v>
          </cell>
        </row>
        <row r="61">
          <cell r="T61" t="str">
            <v>Maintenance Workshop</v>
          </cell>
          <cell r="U61" t="str">
            <v>Fibro</v>
          </cell>
        </row>
        <row r="62">
          <cell r="T62" t="str">
            <v>Change Room Attached Building</v>
          </cell>
          <cell r="U62" t="str">
            <v>Metal</v>
          </cell>
        </row>
        <row r="63">
          <cell r="T63" t="str">
            <v>Change Room Attached Building</v>
          </cell>
          <cell r="U63" t="str">
            <v>Brick</v>
          </cell>
        </row>
        <row r="64">
          <cell r="T64" t="str">
            <v>Change Room Attached Building</v>
          </cell>
          <cell r="U64" t="str">
            <v>Concrete</v>
          </cell>
        </row>
        <row r="65">
          <cell r="T65" t="str">
            <v>Change Room Attached Building</v>
          </cell>
          <cell r="U65" t="str">
            <v>Timber</v>
          </cell>
        </row>
        <row r="66">
          <cell r="T66" t="str">
            <v>Change Room Attached Building</v>
          </cell>
          <cell r="U66" t="str">
            <v>Fibro</v>
          </cell>
        </row>
        <row r="67">
          <cell r="T67" t="str">
            <v>Public Toilets Attached Building</v>
          </cell>
          <cell r="U67" t="str">
            <v>Metal</v>
          </cell>
        </row>
        <row r="68">
          <cell r="T68" t="str">
            <v>Public Toilets Attached Building</v>
          </cell>
          <cell r="U68" t="str">
            <v>Brick</v>
          </cell>
        </row>
        <row r="69">
          <cell r="T69" t="str">
            <v>Public Toilets Attached Building</v>
          </cell>
          <cell r="U69" t="str">
            <v>Concrete</v>
          </cell>
        </row>
        <row r="70">
          <cell r="T70" t="str">
            <v>Public Toilets Attached Building</v>
          </cell>
          <cell r="U70" t="str">
            <v>Timber</v>
          </cell>
        </row>
        <row r="71">
          <cell r="T71" t="str">
            <v>Public Toilets Attached Building</v>
          </cell>
          <cell r="U71" t="str">
            <v>Fibro</v>
          </cell>
        </row>
        <row r="72">
          <cell r="T72" t="str">
            <v>Change Room/Toilet Building</v>
          </cell>
          <cell r="U72" t="str">
            <v>Metal</v>
          </cell>
        </row>
        <row r="73">
          <cell r="T73" t="str">
            <v>Change Room/Toilet Building</v>
          </cell>
          <cell r="U73" t="str">
            <v>Brick</v>
          </cell>
        </row>
        <row r="74">
          <cell r="T74" t="str">
            <v>Change Room/Toilet Building</v>
          </cell>
          <cell r="U74" t="str">
            <v>Concrete</v>
          </cell>
        </row>
        <row r="75">
          <cell r="T75" t="str">
            <v>Change Room/Toilet Building</v>
          </cell>
          <cell r="U75" t="str">
            <v>Timber</v>
          </cell>
        </row>
        <row r="76">
          <cell r="T76" t="str">
            <v>Change Room/Toilet Building</v>
          </cell>
          <cell r="U76" t="str">
            <v>Fibro</v>
          </cell>
        </row>
        <row r="77">
          <cell r="T77" t="str">
            <v>Clubhouse and Change Rooms</v>
          </cell>
          <cell r="U77" t="str">
            <v>Metal</v>
          </cell>
        </row>
        <row r="78">
          <cell r="T78" t="str">
            <v>Clubhouse and Change Rooms</v>
          </cell>
          <cell r="U78" t="str">
            <v>Brick</v>
          </cell>
        </row>
        <row r="79">
          <cell r="T79" t="str">
            <v>Clubhouse and Change Rooms</v>
          </cell>
          <cell r="U79" t="str">
            <v>Concrete</v>
          </cell>
        </row>
        <row r="80">
          <cell r="T80" t="str">
            <v>Clubhouse and Change Rooms</v>
          </cell>
          <cell r="U80" t="str">
            <v>Timber</v>
          </cell>
        </row>
        <row r="81">
          <cell r="T81" t="str">
            <v>Clubhouse and Change Rooms</v>
          </cell>
          <cell r="U81" t="str">
            <v>Fibro</v>
          </cell>
        </row>
        <row r="82">
          <cell r="T82" t="str">
            <v>Individual House One Storey Medium Std.</v>
          </cell>
          <cell r="U82" t="str">
            <v>Metal</v>
          </cell>
        </row>
        <row r="83">
          <cell r="T83" t="str">
            <v>Individual House One Storey Medium Std.</v>
          </cell>
          <cell r="U83" t="str">
            <v>Brick</v>
          </cell>
        </row>
        <row r="84">
          <cell r="T84" t="str">
            <v>Individual House One Storey Medium Std.</v>
          </cell>
          <cell r="U84" t="str">
            <v>Concrete</v>
          </cell>
        </row>
        <row r="85">
          <cell r="T85" t="str">
            <v>Individual House One Storey Medium Std.</v>
          </cell>
          <cell r="U85" t="str">
            <v>Timber</v>
          </cell>
        </row>
        <row r="86">
          <cell r="T86" t="str">
            <v>Individual House One Storey Medium Std.</v>
          </cell>
          <cell r="U86" t="str">
            <v>Fibro</v>
          </cell>
        </row>
        <row r="87">
          <cell r="T87" t="e">
            <v>#REF!</v>
          </cell>
          <cell r="U87" t="str">
            <v>Metal</v>
          </cell>
        </row>
        <row r="88">
          <cell r="T88" t="e">
            <v>#REF!</v>
          </cell>
          <cell r="U88" t="str">
            <v>Brick</v>
          </cell>
        </row>
        <row r="89">
          <cell r="T89" t="e">
            <v>#REF!</v>
          </cell>
          <cell r="U89" t="str">
            <v>Concrete</v>
          </cell>
        </row>
        <row r="90">
          <cell r="T90" t="e">
            <v>#REF!</v>
          </cell>
          <cell r="U90" t="str">
            <v>Timber</v>
          </cell>
        </row>
        <row r="91">
          <cell r="T91" t="str">
            <v>Holiday Unit (Single) Basic Std.</v>
          </cell>
          <cell r="U91" t="str">
            <v>Fibro</v>
          </cell>
        </row>
        <row r="92">
          <cell r="T92" t="str">
            <v>Holiday Unit (Single) Basic Std.</v>
          </cell>
          <cell r="U92" t="str">
            <v>Brick</v>
          </cell>
        </row>
        <row r="93">
          <cell r="T93" t="str">
            <v>Holiday Unit (Single) Basic Std.</v>
          </cell>
          <cell r="U93" t="str">
            <v>Concrete</v>
          </cell>
        </row>
        <row r="94">
          <cell r="T94" t="str">
            <v>Holiday Unit (Single) Basic Std.</v>
          </cell>
          <cell r="U94" t="str">
            <v>Timber</v>
          </cell>
        </row>
        <row r="95">
          <cell r="T95" t="e">
            <v>#REF!</v>
          </cell>
          <cell r="U95" t="str">
            <v>Fibro</v>
          </cell>
        </row>
        <row r="96">
          <cell r="T96" t="e">
            <v>#REF!</v>
          </cell>
          <cell r="U96" t="str">
            <v>Brick</v>
          </cell>
        </row>
        <row r="97">
          <cell r="T97" t="e">
            <v>#REF!</v>
          </cell>
          <cell r="U97" t="str">
            <v>Concrete</v>
          </cell>
        </row>
        <row r="98">
          <cell r="T98" t="e">
            <v>#REF!</v>
          </cell>
          <cell r="U98" t="str">
            <v>Timber</v>
          </cell>
        </row>
        <row r="99">
          <cell r="T99" t="e">
            <v>#REF!</v>
          </cell>
          <cell r="U99" t="str">
            <v>Brick</v>
          </cell>
        </row>
        <row r="100">
          <cell r="T100" t="e">
            <v>#REF!</v>
          </cell>
          <cell r="U100" t="str">
            <v>Concrete</v>
          </cell>
        </row>
        <row r="101">
          <cell r="T101" t="e">
            <v>#REF!</v>
          </cell>
          <cell r="U101" t="str">
            <v>Timber</v>
          </cell>
        </row>
        <row r="102">
          <cell r="T102" t="e">
            <v>#REF!</v>
          </cell>
          <cell r="U102" t="str">
            <v>Brick</v>
          </cell>
        </row>
        <row r="103">
          <cell r="T103" t="e">
            <v>#REF!</v>
          </cell>
          <cell r="U103" t="str">
            <v>Concrete</v>
          </cell>
        </row>
        <row r="104">
          <cell r="T104" t="e">
            <v>#REF!</v>
          </cell>
          <cell r="U104" t="str">
            <v>Timber</v>
          </cell>
        </row>
        <row r="105">
          <cell r="T105" t="e">
            <v>#REF!</v>
          </cell>
          <cell r="U105" t="str">
            <v>Metal</v>
          </cell>
        </row>
        <row r="106">
          <cell r="T106" t="e">
            <v>#REF!</v>
          </cell>
          <cell r="U106" t="str">
            <v>Brick</v>
          </cell>
        </row>
        <row r="107">
          <cell r="T107" t="e">
            <v>#REF!</v>
          </cell>
          <cell r="U107" t="str">
            <v>Concrete</v>
          </cell>
        </row>
        <row r="108">
          <cell r="T108" t="e">
            <v>#REF!</v>
          </cell>
          <cell r="U108" t="str">
            <v>Timber</v>
          </cell>
        </row>
        <row r="109">
          <cell r="T109" t="e">
            <v>#REF!</v>
          </cell>
          <cell r="U109" t="str">
            <v>Metal</v>
          </cell>
        </row>
        <row r="110">
          <cell r="T110" t="e">
            <v>#REF!</v>
          </cell>
          <cell r="U110" t="str">
            <v>Brick</v>
          </cell>
        </row>
        <row r="111">
          <cell r="T111" t="e">
            <v>#REF!</v>
          </cell>
          <cell r="U111" t="str">
            <v>Concrete</v>
          </cell>
        </row>
        <row r="112">
          <cell r="T112" t="e">
            <v>#REF!</v>
          </cell>
          <cell r="U112" t="str">
            <v>Timber</v>
          </cell>
        </row>
        <row r="113">
          <cell r="T113" t="e">
            <v>#REF!</v>
          </cell>
          <cell r="U113" t="str">
            <v>Metal</v>
          </cell>
        </row>
        <row r="114">
          <cell r="T114" t="e">
            <v>#REF!</v>
          </cell>
          <cell r="U114" t="str">
            <v>Brick</v>
          </cell>
        </row>
        <row r="115">
          <cell r="T115" t="e">
            <v>#REF!</v>
          </cell>
          <cell r="U115" t="str">
            <v>Concrete</v>
          </cell>
        </row>
        <row r="116">
          <cell r="T116" t="e">
            <v>#REF!</v>
          </cell>
          <cell r="U116" t="str">
            <v>Timber</v>
          </cell>
        </row>
        <row r="117">
          <cell r="T117" t="e">
            <v>#REF!</v>
          </cell>
          <cell r="U117" t="str">
            <v>Metal</v>
          </cell>
        </row>
        <row r="118">
          <cell r="T118" t="e">
            <v>#REF!</v>
          </cell>
          <cell r="U118" t="str">
            <v>Brick</v>
          </cell>
        </row>
        <row r="119">
          <cell r="T119" t="e">
            <v>#REF!</v>
          </cell>
          <cell r="U119" t="str">
            <v>Concrete</v>
          </cell>
        </row>
        <row r="120">
          <cell r="T120" t="e">
            <v>#REF!</v>
          </cell>
          <cell r="U120" t="str">
            <v>Timber</v>
          </cell>
        </row>
      </sheetData>
      <sheetData sheetId="3"/>
      <sheetData sheetId="4"/>
      <sheetData sheetId="5">
        <row r="2">
          <cell r="A2">
            <v>1</v>
          </cell>
          <cell r="B2" t="str">
            <v>HeirissonCOPRVW01A</v>
          </cell>
          <cell r="C2" t="str">
            <v>HeirissonCOPRVW01A</v>
          </cell>
          <cell r="E2" t="str">
            <v>Riverwall 01 - Heirisson Island</v>
          </cell>
          <cell r="F2" t="str">
            <v>Heirisson Island</v>
          </cell>
          <cell r="G2" t="str">
            <v>Natural limestone wall</v>
          </cell>
          <cell r="I2">
            <v>73</v>
          </cell>
          <cell r="J2">
            <v>1946</v>
          </cell>
          <cell r="L2">
            <v>152309.92582162458</v>
          </cell>
          <cell r="M2">
            <v>5</v>
          </cell>
          <cell r="N2">
            <v>0</v>
          </cell>
          <cell r="O2">
            <v>80</v>
          </cell>
          <cell r="P2">
            <v>0</v>
          </cell>
          <cell r="Q2">
            <v>0</v>
          </cell>
          <cell r="R2">
            <v>1.2500000000000001E-2</v>
          </cell>
          <cell r="S2">
            <v>1903.8740727703073</v>
          </cell>
          <cell r="T2">
            <v>152309.92582162458</v>
          </cell>
          <cell r="U2">
            <v>46150</v>
          </cell>
        </row>
        <row r="3">
          <cell r="A3">
            <v>2</v>
          </cell>
          <cell r="B3" t="str">
            <v>HeirissonCOPRVW02A</v>
          </cell>
          <cell r="C3" t="str">
            <v>HeirissonCOPRVW02A</v>
          </cell>
          <cell r="E3" t="str">
            <v>Riverwall 02 - Heirisson Island</v>
          </cell>
          <cell r="F3" t="str">
            <v>Heirisson Island</v>
          </cell>
          <cell r="G3" t="str">
            <v>Limestone armour</v>
          </cell>
          <cell r="I3">
            <v>116</v>
          </cell>
          <cell r="J3">
            <v>1958</v>
          </cell>
          <cell r="L3">
            <v>76698.612076874415</v>
          </cell>
          <cell r="M3">
            <v>4</v>
          </cell>
          <cell r="N3">
            <v>11504.791811531162</v>
          </cell>
          <cell r="O3">
            <v>80</v>
          </cell>
          <cell r="P3">
            <v>12</v>
          </cell>
          <cell r="Q3">
            <v>0</v>
          </cell>
          <cell r="R3">
            <v>1.2500000000000001E-2</v>
          </cell>
          <cell r="S3">
            <v>958.73265096093019</v>
          </cell>
          <cell r="T3">
            <v>65193.820265343253</v>
          </cell>
          <cell r="U3">
            <v>46150</v>
          </cell>
        </row>
        <row r="4">
          <cell r="A4">
            <v>3</v>
          </cell>
          <cell r="B4" t="str">
            <v>HeirissonCOPRVW04A</v>
          </cell>
          <cell r="C4" t="str">
            <v>HeirissonCOPRVW04A</v>
          </cell>
          <cell r="E4" t="str">
            <v>Riverwall 04 - Heirisson Island</v>
          </cell>
          <cell r="F4" t="str">
            <v>Heirisson Island</v>
          </cell>
          <cell r="G4" t="str">
            <v>Natural limestone block wall</v>
          </cell>
          <cell r="I4">
            <v>55</v>
          </cell>
          <cell r="J4">
            <v>1994</v>
          </cell>
          <cell r="L4">
            <v>114754.05370122399</v>
          </cell>
          <cell r="M4">
            <v>2</v>
          </cell>
          <cell r="N4">
            <v>68852.432220734394</v>
          </cell>
          <cell r="O4">
            <v>80</v>
          </cell>
          <cell r="P4">
            <v>48</v>
          </cell>
          <cell r="Q4">
            <v>0</v>
          </cell>
          <cell r="R4">
            <v>1.2500000000000001E-2</v>
          </cell>
          <cell r="S4">
            <v>1434.4256712653</v>
          </cell>
          <cell r="T4">
            <v>45901.621480489601</v>
          </cell>
          <cell r="U4">
            <v>46150</v>
          </cell>
        </row>
        <row r="5">
          <cell r="A5">
            <v>4</v>
          </cell>
          <cell r="B5" t="str">
            <v>HeirissonCOPRVW05A</v>
          </cell>
          <cell r="C5" t="str">
            <v>HeirissonCOPRVW05A</v>
          </cell>
          <cell r="E5" t="str">
            <v>Riverwall 05 - Heirisson Island</v>
          </cell>
          <cell r="F5" t="str">
            <v>Heirisson Island</v>
          </cell>
          <cell r="G5" t="str">
            <v>Loose limestone rip rap revetment</v>
          </cell>
          <cell r="I5">
            <v>797</v>
          </cell>
          <cell r="J5">
            <v>1946</v>
          </cell>
          <cell r="L5">
            <v>526972.36056266294</v>
          </cell>
          <cell r="M5">
            <v>5</v>
          </cell>
          <cell r="N5">
            <v>0</v>
          </cell>
          <cell r="O5">
            <v>80</v>
          </cell>
          <cell r="P5">
            <v>0</v>
          </cell>
          <cell r="Q5">
            <v>0</v>
          </cell>
          <cell r="R5">
            <v>1.2500000000000001E-2</v>
          </cell>
          <cell r="S5">
            <v>6587.1545070332868</v>
          </cell>
          <cell r="T5">
            <v>526972.36056266294</v>
          </cell>
          <cell r="U5">
            <v>46150</v>
          </cell>
        </row>
        <row r="6">
          <cell r="A6">
            <v>5</v>
          </cell>
          <cell r="B6" t="str">
            <v>HeirissonCOPRVW06A</v>
          </cell>
          <cell r="C6" t="str">
            <v>HeirissonCOPRVW06A</v>
          </cell>
          <cell r="E6" t="str">
            <v>Riverwall 06 - Heirisson Island - Wood wall</v>
          </cell>
          <cell r="F6" t="str">
            <v>Heirisson Island</v>
          </cell>
          <cell r="G6" t="str">
            <v>Wood wall</v>
          </cell>
          <cell r="I6">
            <v>135</v>
          </cell>
          <cell r="J6">
            <v>2005</v>
          </cell>
          <cell r="L6">
            <v>137968.18353201755</v>
          </cell>
          <cell r="M6">
            <v>4</v>
          </cell>
          <cell r="N6">
            <v>20695.227529802632</v>
          </cell>
          <cell r="O6">
            <v>25</v>
          </cell>
          <cell r="P6">
            <v>3.75</v>
          </cell>
          <cell r="Q6">
            <v>0</v>
          </cell>
          <cell r="R6">
            <v>0.04</v>
          </cell>
          <cell r="S6">
            <v>5518.7273412807017</v>
          </cell>
          <cell r="T6">
            <v>117272.95600221491</v>
          </cell>
          <cell r="U6">
            <v>46150</v>
          </cell>
        </row>
        <row r="7">
          <cell r="A7">
            <v>6</v>
          </cell>
          <cell r="B7" t="str">
            <v>MardalupPkRVW06A</v>
          </cell>
          <cell r="C7" t="str">
            <v>MardalupPkRVW06A</v>
          </cell>
          <cell r="E7" t="str">
            <v>Riverwall 06 - Mardalup Park - Limestone Block Wall</v>
          </cell>
          <cell r="F7" t="str">
            <v>Mardalup Park - Block access protection</v>
          </cell>
          <cell r="G7" t="str">
            <v>Limestone block wall and limestone rock headland</v>
          </cell>
          <cell r="I7">
            <v>30</v>
          </cell>
          <cell r="J7">
            <v>1994</v>
          </cell>
          <cell r="L7">
            <v>49765.93852574208</v>
          </cell>
          <cell r="M7">
            <v>2</v>
          </cell>
          <cell r="N7">
            <v>29859.563115445246</v>
          </cell>
          <cell r="O7">
            <v>80</v>
          </cell>
          <cell r="P7">
            <v>48</v>
          </cell>
          <cell r="Q7">
            <v>0</v>
          </cell>
          <cell r="R7">
            <v>1.2500000000000001E-2</v>
          </cell>
          <cell r="S7">
            <v>622.07423157177595</v>
          </cell>
          <cell r="T7">
            <v>19906.375410296834</v>
          </cell>
          <cell r="U7">
            <v>46150</v>
          </cell>
        </row>
        <row r="8">
          <cell r="A8">
            <v>7</v>
          </cell>
          <cell r="B8" t="str">
            <v>MardalupPkRVW07A</v>
          </cell>
          <cell r="C8" t="str">
            <v>MardalupPkRVW07A</v>
          </cell>
          <cell r="E8" t="str">
            <v>Riverwall 07 - Mardalup Park - Limestone Block Wall</v>
          </cell>
          <cell r="F8" t="str">
            <v>Mardalup Park - Rock revetment groyne</v>
          </cell>
          <cell r="G8" t="str">
            <v>Limestone block wall and limestone rock headland</v>
          </cell>
          <cell r="I8">
            <v>14</v>
          </cell>
          <cell r="J8">
            <v>1958</v>
          </cell>
          <cell r="L8">
            <v>23224.104645346306</v>
          </cell>
          <cell r="M8">
            <v>4</v>
          </cell>
          <cell r="N8">
            <v>3483.6156968019459</v>
          </cell>
          <cell r="O8">
            <v>80</v>
          </cell>
          <cell r="P8">
            <v>12</v>
          </cell>
          <cell r="Q8">
            <v>0</v>
          </cell>
          <cell r="R8">
            <v>1.2500000000000001E-2</v>
          </cell>
          <cell r="S8">
            <v>290.30130806682882</v>
          </cell>
          <cell r="T8">
            <v>19740.48894854436</v>
          </cell>
          <cell r="U8">
            <v>46150</v>
          </cell>
        </row>
        <row r="9">
          <cell r="A9">
            <v>8</v>
          </cell>
          <cell r="B9" t="str">
            <v>MardalupPkRVW08A</v>
          </cell>
          <cell r="C9" t="str">
            <v>MardalupPkRVW08A</v>
          </cell>
          <cell r="E9" t="str">
            <v>Riverwall 08 - Mardalup Park - Natural Limestone Wall</v>
          </cell>
          <cell r="F9" t="str">
            <v>Mardalup Park - Rock revetment groyne</v>
          </cell>
          <cell r="G9" t="str">
            <v>Natural limestone block</v>
          </cell>
          <cell r="I9">
            <v>25</v>
          </cell>
          <cell r="J9">
            <v>1970</v>
          </cell>
          <cell r="L9">
            <v>52160.933500556363</v>
          </cell>
          <cell r="M9">
            <v>3</v>
          </cell>
          <cell r="N9">
            <v>15648.280050166908</v>
          </cell>
          <cell r="O9">
            <v>80</v>
          </cell>
          <cell r="P9">
            <v>24</v>
          </cell>
          <cell r="Q9">
            <v>0</v>
          </cell>
          <cell r="R9">
            <v>1.2500000000000001E-2</v>
          </cell>
          <cell r="S9">
            <v>652.01166875695458</v>
          </cell>
          <cell r="T9">
            <v>36512.653450389451</v>
          </cell>
          <cell r="U9">
            <v>46150</v>
          </cell>
        </row>
        <row r="10">
          <cell r="A10">
            <v>9</v>
          </cell>
          <cell r="B10" t="str">
            <v>MountsBayFrShrRVW04A</v>
          </cell>
          <cell r="C10" t="str">
            <v>MountsBayFrShrRVW04A</v>
          </cell>
          <cell r="E10" t="str">
            <v>Riverwall 04 - Mounts Bay Road Foreshore [DBCA Ref: SRPer11 Kings Park Ave Jetty.B02]</v>
          </cell>
          <cell r="F10" t="str">
            <v>Mounts Bay Road Foreshore</v>
          </cell>
          <cell r="G10" t="str">
            <v>Limestone gabion with concrete capping, limestone scour protection.</v>
          </cell>
          <cell r="I10">
            <v>91</v>
          </cell>
          <cell r="J10">
            <v>1998</v>
          </cell>
          <cell r="L10">
            <v>44086.224195413954</v>
          </cell>
          <cell r="M10">
            <v>3</v>
          </cell>
          <cell r="N10">
            <v>13225.867258624186</v>
          </cell>
          <cell r="O10">
            <v>40</v>
          </cell>
          <cell r="P10">
            <v>12</v>
          </cell>
          <cell r="Q10">
            <v>0</v>
          </cell>
          <cell r="R10">
            <v>2.5000000000000001E-2</v>
          </cell>
          <cell r="S10">
            <v>1102.1556048853488</v>
          </cell>
          <cell r="T10">
            <v>30860.356936789765</v>
          </cell>
          <cell r="U10">
            <v>46149</v>
          </cell>
        </row>
        <row r="11">
          <cell r="A11">
            <v>10</v>
          </cell>
          <cell r="B11" t="str">
            <v>MountsBayFrShrRVW10A</v>
          </cell>
          <cell r="C11" t="str">
            <v>MountsBayFrShrRVW10A</v>
          </cell>
          <cell r="E11" t="str">
            <v>Riverwall 10 - Mounts Bay Road Foreshore -Near Swan Brewery Stage 5 - [DBCA Ref: 	SRPer10 Quarry Pt.B03]</v>
          </cell>
          <cell r="F11" t="str">
            <v>Mounts Bay Road Foreshore</v>
          </cell>
          <cell r="G11" t="str">
            <v>Natural limestone block wall, rock scour protection</v>
          </cell>
          <cell r="I11">
            <v>142</v>
          </cell>
          <cell r="J11">
            <v>1970</v>
          </cell>
          <cell r="L11">
            <v>235558.77568851251</v>
          </cell>
          <cell r="M11">
            <v>3</v>
          </cell>
          <cell r="N11">
            <v>70667.632706553748</v>
          </cell>
          <cell r="O11">
            <v>80</v>
          </cell>
          <cell r="P11">
            <v>24</v>
          </cell>
          <cell r="Q11">
            <v>0</v>
          </cell>
          <cell r="R11">
            <v>1.2500000000000001E-2</v>
          </cell>
          <cell r="S11">
            <v>2944.4846961064063</v>
          </cell>
          <cell r="T11">
            <v>164891.14298195875</v>
          </cell>
          <cell r="U11">
            <v>46149</v>
          </cell>
        </row>
        <row r="12">
          <cell r="A12">
            <v>11</v>
          </cell>
          <cell r="B12" t="str">
            <v>MountsBayFrShrRVW11A</v>
          </cell>
          <cell r="C12" t="str">
            <v>MountsBayFrShrRVW11A</v>
          </cell>
          <cell r="E12" t="str">
            <v>Riverwall 11 - Mounts Bay Road Foreshore [DBCA Ref: SRPer10 Quarry Pt.B02]</v>
          </cell>
          <cell r="F12" t="str">
            <v>Mounts Bay Road Foreshore</v>
          </cell>
          <cell r="G12" t="str">
            <v>Reconstituted limestone block</v>
          </cell>
          <cell r="I12">
            <v>55</v>
          </cell>
          <cell r="J12">
            <v>2026</v>
          </cell>
          <cell r="L12">
            <v>114754.05370122399</v>
          </cell>
          <cell r="M12">
            <v>1</v>
          </cell>
          <cell r="N12">
            <v>114754.05370122399</v>
          </cell>
          <cell r="O12">
            <v>80</v>
          </cell>
          <cell r="P12">
            <v>80</v>
          </cell>
          <cell r="Q12">
            <v>0</v>
          </cell>
          <cell r="R12">
            <v>1.2500000000000001E-2</v>
          </cell>
          <cell r="S12">
            <v>1434.4256712653</v>
          </cell>
          <cell r="T12">
            <v>0</v>
          </cell>
          <cell r="U12">
            <v>46149</v>
          </cell>
        </row>
        <row r="13">
          <cell r="A13">
            <v>12</v>
          </cell>
          <cell r="B13" t="str">
            <v>MountsBayFrShrRVW12A</v>
          </cell>
          <cell r="C13" t="str">
            <v>MountsBayFrShrRVW12A</v>
          </cell>
          <cell r="E13" t="str">
            <v>Riverwall 12 - Mounts Bay Road Foreshore - Vertical wall - South of Old Swan Brewery - [DBCA Ref: SRPer10 Quarry Pt.B01]</v>
          </cell>
          <cell r="F13" t="str">
            <v>Mounts Bay Road Foreshore</v>
          </cell>
          <cell r="G13" t="str">
            <v>mortared limestone rocks</v>
          </cell>
          <cell r="I13">
            <v>128</v>
          </cell>
          <cell r="J13">
            <v>1994</v>
          </cell>
          <cell r="L13">
            <v>88605.683481648477</v>
          </cell>
          <cell r="M13">
            <v>2</v>
          </cell>
          <cell r="N13">
            <v>53163.410088989083</v>
          </cell>
          <cell r="O13">
            <v>80</v>
          </cell>
          <cell r="P13">
            <v>48</v>
          </cell>
          <cell r="Q13">
            <v>0</v>
          </cell>
          <cell r="R13">
            <v>1.2500000000000001E-2</v>
          </cell>
          <cell r="S13">
            <v>1107.5710435206061</v>
          </cell>
          <cell r="T13">
            <v>35442.273392659394</v>
          </cell>
          <cell r="U13">
            <v>46149</v>
          </cell>
        </row>
        <row r="14">
          <cell r="A14">
            <v>13</v>
          </cell>
          <cell r="B14" t="str">
            <v>MountsBayFrShrRVW13A</v>
          </cell>
          <cell r="C14" t="str">
            <v>MountsBayFrShrRVW13A</v>
          </cell>
          <cell r="E14" t="str">
            <v>Riverwall 13 - Mounts Bay Road Foreshore - Vertical wall - South of Old Swan Brewery - [DBCA Ref: SRPer09 West Old Swan Brewery.B02]</v>
          </cell>
          <cell r="F14" t="str">
            <v>Mounts Bay Road Foreshore</v>
          </cell>
          <cell r="G14" t="str">
            <v>Mortared limestone rocks</v>
          </cell>
          <cell r="I14">
            <v>59</v>
          </cell>
          <cell r="J14">
            <v>1994</v>
          </cell>
          <cell r="L14">
            <v>40841.682229822341</v>
          </cell>
          <cell r="M14">
            <v>2</v>
          </cell>
          <cell r="N14">
            <v>24505.009337893403</v>
          </cell>
          <cell r="O14">
            <v>80</v>
          </cell>
          <cell r="P14">
            <v>48</v>
          </cell>
          <cell r="Q14">
            <v>0</v>
          </cell>
          <cell r="R14">
            <v>1.2500000000000001E-2</v>
          </cell>
          <cell r="S14">
            <v>510.52102787277926</v>
          </cell>
          <cell r="T14">
            <v>16336.672891928938</v>
          </cell>
          <cell r="U14">
            <v>46149</v>
          </cell>
        </row>
        <row r="15">
          <cell r="A15">
            <v>14</v>
          </cell>
          <cell r="B15" t="str">
            <v>MountsBayFrShrRVW14A</v>
          </cell>
          <cell r="C15" t="str">
            <v>MountsBayFrShrRVW14A</v>
          </cell>
          <cell r="E15" t="str">
            <v>Riverwall 14 - Mounts Bay Road Foreshore - Near Swan Brewery Stage 5 - [DBCA Ref: SRPer07 East Old Swan Brewery.B02]</v>
          </cell>
          <cell r="F15" t="str">
            <v>Mounts Bay Road Foreshore</v>
          </cell>
          <cell r="G15" t="str">
            <v>Limestone blocks with shotcrete, new concrete capping &amp; gabion at toe.</v>
          </cell>
          <cell r="I15">
            <v>90</v>
          </cell>
          <cell r="J15">
            <v>1994</v>
          </cell>
          <cell r="L15">
            <v>201803.52002325901</v>
          </cell>
          <cell r="M15">
            <v>2</v>
          </cell>
          <cell r="N15">
            <v>121082.1120139554</v>
          </cell>
          <cell r="O15">
            <v>80</v>
          </cell>
          <cell r="P15">
            <v>48</v>
          </cell>
          <cell r="Q15">
            <v>0</v>
          </cell>
          <cell r="R15">
            <v>1.2500000000000001E-2</v>
          </cell>
          <cell r="S15">
            <v>2522.5440002907376</v>
          </cell>
          <cell r="T15">
            <v>80721.408009303617</v>
          </cell>
          <cell r="U15">
            <v>46149</v>
          </cell>
        </row>
        <row r="16">
          <cell r="A16">
            <v>15</v>
          </cell>
          <cell r="B16" t="str">
            <v>RiversideFrShrRVW01A</v>
          </cell>
          <cell r="C16" t="str">
            <v>RiversideFrShrRVW01A</v>
          </cell>
          <cell r="E16" t="str">
            <v>Riverwall 01 - Riverside Drive Foreshore - Vertical Wall</v>
          </cell>
          <cell r="F16" t="str">
            <v>Riverside Drive - See GIS record for exact location</v>
          </cell>
          <cell r="G16" t="str">
            <v>Limestone armour</v>
          </cell>
          <cell r="I16">
            <v>96</v>
          </cell>
          <cell r="J16">
            <v>1970</v>
          </cell>
          <cell r="L16">
            <v>63474.713442930544</v>
          </cell>
          <cell r="M16">
            <v>3</v>
          </cell>
          <cell r="N16">
            <v>19042.414032879162</v>
          </cell>
          <cell r="O16">
            <v>80</v>
          </cell>
          <cell r="P16">
            <v>24</v>
          </cell>
          <cell r="Q16">
            <v>0</v>
          </cell>
          <cell r="R16">
            <v>1.2500000000000001E-2</v>
          </cell>
          <cell r="S16">
            <v>793.43391803663178</v>
          </cell>
          <cell r="T16">
            <v>44432.299410051382</v>
          </cell>
          <cell r="U16">
            <v>46149</v>
          </cell>
        </row>
        <row r="17">
          <cell r="A17">
            <v>16</v>
          </cell>
          <cell r="B17" t="str">
            <v>RiversideFrShrRVW02A</v>
          </cell>
          <cell r="C17" t="str">
            <v>RiversideFrShrRVW02A</v>
          </cell>
          <cell r="E17" t="str">
            <v>Riverwall 02 - Riverside Drive Foreshore - Vertical Wall</v>
          </cell>
          <cell r="F17" t="str">
            <v>Riverside Drive - See GIS record for exact location</v>
          </cell>
          <cell r="G17" t="str">
            <v>Block wall with shotcrete
and red PSP</v>
          </cell>
          <cell r="I17">
            <v>948</v>
          </cell>
          <cell r="J17">
            <v>1958</v>
          </cell>
          <cell r="L17">
            <v>2125663.7442449951</v>
          </cell>
          <cell r="M17">
            <v>4</v>
          </cell>
          <cell r="N17">
            <v>318849.56163674925</v>
          </cell>
          <cell r="O17">
            <v>80</v>
          </cell>
          <cell r="P17">
            <v>12</v>
          </cell>
          <cell r="Q17">
            <v>0</v>
          </cell>
          <cell r="R17">
            <v>1.2500000000000001E-2</v>
          </cell>
          <cell r="S17">
            <v>26570.79680306244</v>
          </cell>
          <cell r="T17">
            <v>1806814.1826082459</v>
          </cell>
          <cell r="U17">
            <v>46149</v>
          </cell>
        </row>
        <row r="18">
          <cell r="A18">
            <v>17</v>
          </cell>
          <cell r="B18" t="str">
            <v>RiversideFrShrRVW03A</v>
          </cell>
          <cell r="C18" t="str">
            <v>RiversideFrShrRVW03A</v>
          </cell>
          <cell r="E18" t="str">
            <v>Riverwall 03 - Riverside Drive Foreshore - Vertical Wall</v>
          </cell>
          <cell r="F18" t="str">
            <v>Riverside Drive - See GIS record for exact location</v>
          </cell>
          <cell r="G18" t="str">
            <v>Block wall with shotcrete
and red PSP</v>
          </cell>
          <cell r="I18">
            <v>225</v>
          </cell>
          <cell r="J18">
            <v>1958</v>
          </cell>
          <cell r="L18">
            <v>504508.80005814752</v>
          </cell>
          <cell r="M18">
            <v>4</v>
          </cell>
          <cell r="N18">
            <v>75676.320008722119</v>
          </cell>
          <cell r="O18">
            <v>80</v>
          </cell>
          <cell r="P18">
            <v>12</v>
          </cell>
          <cell r="Q18">
            <v>0</v>
          </cell>
          <cell r="R18">
            <v>1.2500000000000001E-2</v>
          </cell>
          <cell r="S18">
            <v>6306.3600007268442</v>
          </cell>
          <cell r="T18">
            <v>428832.48004942539</v>
          </cell>
          <cell r="U18">
            <v>46149</v>
          </cell>
        </row>
        <row r="19">
          <cell r="A19">
            <v>18</v>
          </cell>
          <cell r="B19" t="str">
            <v>RiversideFrShrRVW04A</v>
          </cell>
          <cell r="C19" t="str">
            <v>RiversideFrShrRVW04A</v>
          </cell>
          <cell r="E19" t="str">
            <v>Riverwall 04 - Riverside Drive Foreshore - Vertical Wall with rear Rock Spalls</v>
          </cell>
          <cell r="F19" t="str">
            <v>Riverside Drive - See GIS record for exact location</v>
          </cell>
          <cell r="G19" t="str">
            <v>Block wall with shotcrete and limestone rock back fill</v>
          </cell>
          <cell r="I19">
            <v>142</v>
          </cell>
          <cell r="J19">
            <v>1970</v>
          </cell>
          <cell r="L19">
            <v>318401.10937003087</v>
          </cell>
          <cell r="M19">
            <v>3</v>
          </cell>
          <cell r="N19">
            <v>95520.332811009255</v>
          </cell>
          <cell r="O19">
            <v>80</v>
          </cell>
          <cell r="P19">
            <v>24</v>
          </cell>
          <cell r="Q19">
            <v>0</v>
          </cell>
          <cell r="R19">
            <v>1.2500000000000001E-2</v>
          </cell>
          <cell r="S19">
            <v>3980.0138671253858</v>
          </cell>
          <cell r="T19">
            <v>222880.77655902161</v>
          </cell>
          <cell r="U19">
            <v>46149</v>
          </cell>
        </row>
        <row r="20">
          <cell r="A20">
            <v>19</v>
          </cell>
          <cell r="B20" t="str">
            <v>RiversideFrShrRVW05A</v>
          </cell>
          <cell r="C20" t="str">
            <v>RiversideFrShrRVW05A</v>
          </cell>
          <cell r="E20" t="str">
            <v>Riverwall 05 - Riverside Drive Foreshore - Vertical Wall</v>
          </cell>
          <cell r="F20" t="str">
            <v>Riverside Drive - See GIS record for exact location</v>
          </cell>
          <cell r="G20" t="str">
            <v>Block wall with shotcrete and limestone rock back fill</v>
          </cell>
          <cell r="I20">
            <v>53</v>
          </cell>
          <cell r="J20">
            <v>1946</v>
          </cell>
          <cell r="L20">
            <v>118839.85068036364</v>
          </cell>
          <cell r="M20">
            <v>5</v>
          </cell>
          <cell r="N20">
            <v>0</v>
          </cell>
          <cell r="O20">
            <v>80</v>
          </cell>
          <cell r="P20">
            <v>0</v>
          </cell>
          <cell r="Q20">
            <v>0</v>
          </cell>
          <cell r="R20">
            <v>1.2500000000000001E-2</v>
          </cell>
          <cell r="S20">
            <v>1485.4981335045454</v>
          </cell>
          <cell r="T20">
            <v>118839.85068036364</v>
          </cell>
          <cell r="U20">
            <v>46149</v>
          </cell>
        </row>
        <row r="21">
          <cell r="A21">
            <v>20</v>
          </cell>
          <cell r="B21" t="str">
            <v>PointFraserRVW01A</v>
          </cell>
          <cell r="C21" t="str">
            <v>PointFraserRVW01A</v>
          </cell>
          <cell r="E21" t="str">
            <v>Riverwall 01 - Point Fraser Park - Vertical Wall</v>
          </cell>
          <cell r="F21" t="str">
            <v>Point Fraser Park - See GIS record for exact location</v>
          </cell>
          <cell r="G21" t="str">
            <v>Limestone armour</v>
          </cell>
          <cell r="I21">
            <v>88</v>
          </cell>
          <cell r="J21">
            <v>1970</v>
          </cell>
          <cell r="L21">
            <v>58185.153989352999</v>
          </cell>
          <cell r="M21">
            <v>3</v>
          </cell>
          <cell r="N21">
            <v>17455.546196805899</v>
          </cell>
          <cell r="O21">
            <v>80</v>
          </cell>
          <cell r="P21">
            <v>24</v>
          </cell>
          <cell r="Q21">
            <v>0</v>
          </cell>
          <cell r="R21">
            <v>1.2500000000000001E-2</v>
          </cell>
          <cell r="S21">
            <v>727.31442486691253</v>
          </cell>
          <cell r="T21">
            <v>40729.607792547104</v>
          </cell>
          <cell r="U21">
            <v>46149</v>
          </cell>
        </row>
        <row r="22">
          <cell r="A22">
            <v>21</v>
          </cell>
          <cell r="B22" t="str">
            <v>EastPerthFrShrRVW05E</v>
          </cell>
          <cell r="C22" t="str">
            <v>EastPerthFrShrRVW05E</v>
          </cell>
          <cell r="E22" t="str">
            <v>Riverwall 05 - East Perth Foreshore - Beach</v>
          </cell>
          <cell r="F22" t="str">
            <v>Mardalup Park - Beach</v>
          </cell>
          <cell r="G22" t="str">
            <v>Sand and vegetation</v>
          </cell>
          <cell r="I22">
            <v>65</v>
          </cell>
          <cell r="J22" t="str">
            <v/>
          </cell>
          <cell r="L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>
            <v>46150</v>
          </cell>
        </row>
        <row r="23">
          <cell r="A23">
            <v>22</v>
          </cell>
          <cell r="B23" t="str">
            <v>EastPerthFrShrRVW03E</v>
          </cell>
          <cell r="C23" t="str">
            <v>EastPerthFrShrRVW03E</v>
          </cell>
          <cell r="E23" t="str">
            <v>Riverwall 03 - East Perth Foreshore - Natural edge, Plants, Coir logs and mats</v>
          </cell>
          <cell r="F23" t="str">
            <v>East Perth Foreshore</v>
          </cell>
          <cell r="G23" t="str">
            <v>Natural edge, Plants, Coir logs and mats</v>
          </cell>
          <cell r="I23">
            <v>78</v>
          </cell>
          <cell r="J23">
            <v>2012</v>
          </cell>
          <cell r="L23">
            <v>34595.792171880865</v>
          </cell>
          <cell r="M23">
            <v>3</v>
          </cell>
          <cell r="N23">
            <v>10378.737651564259</v>
          </cell>
          <cell r="O23">
            <v>20</v>
          </cell>
          <cell r="P23">
            <v>6</v>
          </cell>
          <cell r="Q23">
            <v>0</v>
          </cell>
          <cell r="R23">
            <v>0.05</v>
          </cell>
          <cell r="S23">
            <v>1729.7896085940433</v>
          </cell>
          <cell r="T23">
            <v>24217.054520316604</v>
          </cell>
          <cell r="U23">
            <v>46150</v>
          </cell>
        </row>
        <row r="24">
          <cell r="A24">
            <v>23</v>
          </cell>
          <cell r="B24" t="str">
            <v>PointFraserRVW03A</v>
          </cell>
          <cell r="C24" t="str">
            <v>PointFraserRVW03A</v>
          </cell>
          <cell r="E24" t="str">
            <v>Riverwall 03 - Point Fraser Park - Vertical Wall</v>
          </cell>
          <cell r="F24" t="str">
            <v>Point Fraser Park - Beach</v>
          </cell>
          <cell r="G24" t="str">
            <v>Sand and limestone rocks</v>
          </cell>
          <cell r="I24">
            <v>107</v>
          </cell>
          <cell r="J24" t="str">
            <v/>
          </cell>
          <cell r="L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>
            <v>46149</v>
          </cell>
        </row>
        <row r="25">
          <cell r="A25">
            <v>24</v>
          </cell>
          <cell r="B25" t="str">
            <v>PointFraserRVW04A</v>
          </cell>
          <cell r="C25" t="str">
            <v>PointFraserRVW04A</v>
          </cell>
          <cell r="E25" t="str">
            <v>Riverwall 04 - Point Fraser Park - Vertical Wall</v>
          </cell>
          <cell r="F25" t="str">
            <v>Point Fraser Park - Gabion Wall</v>
          </cell>
          <cell r="G25" t="str">
            <v>Granite gabion backed by sedges</v>
          </cell>
          <cell r="I25">
            <v>181</v>
          </cell>
          <cell r="J25">
            <v>1998</v>
          </cell>
          <cell r="L25">
            <v>87687.984388680503</v>
          </cell>
          <cell r="M25">
            <v>3</v>
          </cell>
          <cell r="N25">
            <v>26306.39531660415</v>
          </cell>
          <cell r="O25">
            <v>40</v>
          </cell>
          <cell r="P25">
            <v>12</v>
          </cell>
          <cell r="Q25">
            <v>0</v>
          </cell>
          <cell r="R25">
            <v>2.5000000000000001E-2</v>
          </cell>
          <cell r="S25">
            <v>2192.1996097170127</v>
          </cell>
          <cell r="T25">
            <v>61381.589072076356</v>
          </cell>
          <cell r="U25">
            <v>46149</v>
          </cell>
        </row>
        <row r="26">
          <cell r="A26">
            <v>25</v>
          </cell>
          <cell r="B26" t="str">
            <v>PointFraserRVW02A</v>
          </cell>
          <cell r="C26" t="str">
            <v>PointFraserRVW02A</v>
          </cell>
          <cell r="E26" t="str">
            <v>Riverwall 02 - Point Fraser Park - Vertical Wall</v>
          </cell>
          <cell r="F26" t="str">
            <v>Point Fraser Park - Beach</v>
          </cell>
          <cell r="G26" t="str">
            <v>Rocky beach</v>
          </cell>
          <cell r="I26">
            <v>148</v>
          </cell>
          <cell r="J26" t="str">
            <v/>
          </cell>
          <cell r="L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>
            <v>46149</v>
          </cell>
        </row>
        <row r="27">
          <cell r="A27">
            <v>26</v>
          </cell>
          <cell r="B27" t="str">
            <v>HeirissonCOPRVW11A</v>
          </cell>
          <cell r="C27" t="str">
            <v>HeirissonCOPRVW11A</v>
          </cell>
          <cell r="E27" t="str">
            <v>Riverwall 11 - Heirisson Island - REVETMENT</v>
          </cell>
          <cell r="F27" t="str">
            <v>Heirisson Island</v>
          </cell>
          <cell r="G27" t="str">
            <v>Lose limestone rocks and wooden walls around trees</v>
          </cell>
          <cell r="I27">
            <v>107</v>
          </cell>
          <cell r="J27">
            <v>1946</v>
          </cell>
          <cell r="L27">
            <v>70747.857691599667</v>
          </cell>
          <cell r="M27">
            <v>5</v>
          </cell>
          <cell r="N27">
            <v>0</v>
          </cell>
          <cell r="O27">
            <v>80</v>
          </cell>
          <cell r="P27">
            <v>0</v>
          </cell>
          <cell r="Q27">
            <v>0</v>
          </cell>
          <cell r="R27">
            <v>1.2500000000000001E-2</v>
          </cell>
          <cell r="S27">
            <v>884.34822114499582</v>
          </cell>
          <cell r="T27">
            <v>70747.857691599667</v>
          </cell>
          <cell r="U27">
            <v>46150</v>
          </cell>
        </row>
        <row r="28">
          <cell r="A28">
            <v>27</v>
          </cell>
          <cell r="B28" t="str">
            <v>HeirissonCOPRVW12A</v>
          </cell>
          <cell r="C28" t="str">
            <v>HeirissonCOPRVW12A</v>
          </cell>
          <cell r="E28" t="str">
            <v>Riverwall 12 - Heirisson Island - Beach</v>
          </cell>
          <cell r="F28" t="str">
            <v>Heirisson Island</v>
          </cell>
          <cell r="G28" t="str">
            <v>Limestone rocks and oyster shells</v>
          </cell>
          <cell r="I28">
            <v>283</v>
          </cell>
          <cell r="J28">
            <v>2009</v>
          </cell>
          <cell r="L28">
            <v>63326.797941958139</v>
          </cell>
          <cell r="M28">
            <v>4</v>
          </cell>
          <cell r="N28">
            <v>9499.0196912937208</v>
          </cell>
          <cell r="O28">
            <v>20</v>
          </cell>
          <cell r="P28">
            <v>3</v>
          </cell>
          <cell r="Q28">
            <v>0</v>
          </cell>
          <cell r="R28">
            <v>0.05</v>
          </cell>
          <cell r="S28">
            <v>3166.3398970979069</v>
          </cell>
          <cell r="T28">
            <v>53827.778250664414</v>
          </cell>
          <cell r="U28">
            <v>46150</v>
          </cell>
        </row>
        <row r="29">
          <cell r="A29">
            <v>28</v>
          </cell>
          <cell r="B29" t="str">
            <v>HeirissonCOPRVW13A</v>
          </cell>
          <cell r="C29" t="str">
            <v>HeirissonCOPRVW13A</v>
          </cell>
          <cell r="E29" t="str">
            <v>Riverwall 13 - Heirisson Island - REVETMENT</v>
          </cell>
          <cell r="F29" t="str">
            <v>Heirisson Island</v>
          </cell>
          <cell r="G29" t="str">
            <v>Loose limestone rip rap revetment</v>
          </cell>
          <cell r="I29">
            <v>144</v>
          </cell>
          <cell r="J29">
            <v>1958</v>
          </cell>
          <cell r="L29">
            <v>95212.070164395816</v>
          </cell>
          <cell r="M29">
            <v>4</v>
          </cell>
          <cell r="N29">
            <v>14281.810524659371</v>
          </cell>
          <cell r="O29">
            <v>80</v>
          </cell>
          <cell r="P29">
            <v>12</v>
          </cell>
          <cell r="Q29">
            <v>0</v>
          </cell>
          <cell r="R29">
            <v>1.2500000000000001E-2</v>
          </cell>
          <cell r="S29">
            <v>1190.1508770549476</v>
          </cell>
          <cell r="T29">
            <v>80930.25963973644</v>
          </cell>
          <cell r="U29">
            <v>46150</v>
          </cell>
        </row>
        <row r="30">
          <cell r="A30">
            <v>29</v>
          </cell>
          <cell r="B30" t="str">
            <v>HeirissonCOPRVW10A</v>
          </cell>
          <cell r="C30" t="str">
            <v>HeirissonCOPRVW10A</v>
          </cell>
          <cell r="E30" t="str">
            <v>Riverwall 10 - Heirisson Island - BIOENGINEERING</v>
          </cell>
          <cell r="F30" t="str">
            <v>Heirisson Island</v>
          </cell>
          <cell r="G30" t="str">
            <v>Wooden stakes, some brush walls</v>
          </cell>
          <cell r="I30">
            <v>80</v>
          </cell>
          <cell r="J30">
            <v>2011</v>
          </cell>
          <cell r="L30">
            <v>35482.863766031653</v>
          </cell>
          <cell r="M30">
            <v>5</v>
          </cell>
          <cell r="N30">
            <v>0</v>
          </cell>
          <cell r="O30">
            <v>15</v>
          </cell>
          <cell r="P30">
            <v>0</v>
          </cell>
          <cell r="Q30">
            <v>0</v>
          </cell>
          <cell r="R30">
            <v>6.6666666666666666E-2</v>
          </cell>
          <cell r="S30">
            <v>2365.5242510687767</v>
          </cell>
          <cell r="T30">
            <v>35482.863766031653</v>
          </cell>
          <cell r="U30">
            <v>46150</v>
          </cell>
        </row>
        <row r="31">
          <cell r="A31">
            <v>30</v>
          </cell>
          <cell r="B31" t="str">
            <v>HeirissonCOPRVW09A</v>
          </cell>
          <cell r="C31" t="str">
            <v>HeirissonCOPRVW09A</v>
          </cell>
          <cell r="E31" t="str">
            <v>Riverwall 09 - Heirisson Island - Beach</v>
          </cell>
          <cell r="F31" t="str">
            <v>Heirisson Island</v>
          </cell>
          <cell r="G31" t="str">
            <v>Rocky and shelly beach, possible dredge spoil</v>
          </cell>
          <cell r="I31">
            <v>63</v>
          </cell>
          <cell r="J31" t="str">
            <v/>
          </cell>
          <cell r="L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>
            <v>46150</v>
          </cell>
        </row>
        <row r="32">
          <cell r="A32">
            <v>31</v>
          </cell>
          <cell r="B32" t="str">
            <v>HeirissonCOPRVW08A</v>
          </cell>
          <cell r="C32" t="str">
            <v>HeirissonCOPRVW08A</v>
          </cell>
          <cell r="E32" t="str">
            <v>Riverwall 08 - Heirisson Island - Beach</v>
          </cell>
          <cell r="F32" t="str">
            <v>Heirisson Island</v>
          </cell>
          <cell r="G32" t="str">
            <v>Rocky and shelly beach, possible dredge spoil</v>
          </cell>
          <cell r="I32">
            <v>111</v>
          </cell>
          <cell r="J32" t="str">
            <v/>
          </cell>
          <cell r="L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>
            <v>46150</v>
          </cell>
        </row>
        <row r="33">
          <cell r="A33">
            <v>32</v>
          </cell>
          <cell r="B33" t="str">
            <v>MardalupPkRVW09A</v>
          </cell>
          <cell r="C33" t="str">
            <v>MardalupPkRVW09A</v>
          </cell>
          <cell r="E33" t="str">
            <v>Riverwall 09 - Mardalup Park - Limestone Block Wall</v>
          </cell>
          <cell r="F33" t="str">
            <v>Mardalup Park - Wall</v>
          </cell>
          <cell r="G33" t="str">
            <v>Limestone block</v>
          </cell>
          <cell r="I33">
            <v>31</v>
          </cell>
          <cell r="J33">
            <v>2026</v>
          </cell>
          <cell r="L33">
            <v>64679.557540689886</v>
          </cell>
          <cell r="M33">
            <v>1</v>
          </cell>
          <cell r="N33">
            <v>64679.557540689886</v>
          </cell>
          <cell r="O33">
            <v>80</v>
          </cell>
          <cell r="P33">
            <v>80</v>
          </cell>
          <cell r="Q33">
            <v>0</v>
          </cell>
          <cell r="R33">
            <v>1.2500000000000001E-2</v>
          </cell>
          <cell r="S33">
            <v>808.49446925862355</v>
          </cell>
          <cell r="T33">
            <v>0</v>
          </cell>
          <cell r="U33">
            <v>46150</v>
          </cell>
        </row>
        <row r="34">
          <cell r="A34">
            <v>33</v>
          </cell>
          <cell r="B34" t="str">
            <v>MardalupPkRVW10A</v>
          </cell>
          <cell r="C34" t="str">
            <v>MardalupPkRVW10A</v>
          </cell>
          <cell r="E34" t="str">
            <v>Riverwall 10 - Mardalup Park - Limestone Wall</v>
          </cell>
          <cell r="F34" t="str">
            <v>Mardalup Park - Revetment</v>
          </cell>
          <cell r="G34" t="str">
            <v>Limestone</v>
          </cell>
          <cell r="I34">
            <v>25</v>
          </cell>
          <cell r="J34">
            <v>1958</v>
          </cell>
          <cell r="L34">
            <v>16529.873292429831</v>
          </cell>
          <cell r="M34">
            <v>4</v>
          </cell>
          <cell r="N34">
            <v>2479.4809938644744</v>
          </cell>
          <cell r="O34">
            <v>80</v>
          </cell>
          <cell r="P34">
            <v>12</v>
          </cell>
          <cell r="Q34">
            <v>0</v>
          </cell>
          <cell r="R34">
            <v>1.2500000000000001E-2</v>
          </cell>
          <cell r="S34">
            <v>206.62341615537289</v>
          </cell>
          <cell r="T34">
            <v>14050.392298565357</v>
          </cell>
          <cell r="U34">
            <v>46150</v>
          </cell>
        </row>
        <row r="35">
          <cell r="A35">
            <v>34</v>
          </cell>
          <cell r="B35" t="str">
            <v>MardalupPkRVW11A</v>
          </cell>
          <cell r="C35" t="str">
            <v>MardalupPkRVW11A</v>
          </cell>
          <cell r="E35" t="str">
            <v>Riverwall 11 - Mardalup Park - Beach</v>
          </cell>
          <cell r="F35" t="str">
            <v>Mardalup Park - Beach</v>
          </cell>
          <cell r="G35" t="str">
            <v>Small rocks and vegetation</v>
          </cell>
          <cell r="I35">
            <v>91</v>
          </cell>
          <cell r="J35" t="str">
            <v/>
          </cell>
          <cell r="L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>
            <v>46150</v>
          </cell>
        </row>
        <row r="36">
          <cell r="A36">
            <v>35</v>
          </cell>
          <cell r="B36" t="str">
            <v>EastPerthFrShrRVW04E</v>
          </cell>
          <cell r="C36" t="str">
            <v>EastPerthFrShrRVW04E</v>
          </cell>
          <cell r="E36" t="str">
            <v>Riverwall 04 - East Perth Foreshore - Granite REVETMENT</v>
          </cell>
          <cell r="F36" t="str">
            <v>East Perth Foreshore - Granite REVETMENT</v>
          </cell>
          <cell r="G36" t="str">
            <v>Granite</v>
          </cell>
          <cell r="I36">
            <v>323</v>
          </cell>
          <cell r="J36">
            <v>2026</v>
          </cell>
          <cell r="L36">
            <v>243103.12925915443</v>
          </cell>
          <cell r="M36">
            <v>1</v>
          </cell>
          <cell r="N36">
            <v>243103.12925915443</v>
          </cell>
          <cell r="O36">
            <v>80</v>
          </cell>
          <cell r="P36">
            <v>80</v>
          </cell>
          <cell r="Q36">
            <v>0</v>
          </cell>
          <cell r="R36">
            <v>1.2500000000000001E-2</v>
          </cell>
          <cell r="S36">
            <v>3038.7891157394306</v>
          </cell>
          <cell r="T36">
            <v>0</v>
          </cell>
          <cell r="U36">
            <v>46150</v>
          </cell>
        </row>
        <row r="37">
          <cell r="A37">
            <v>36</v>
          </cell>
          <cell r="B37" t="str">
            <v>EastPerthFrShrRVW06E</v>
          </cell>
          <cell r="C37" t="str">
            <v>EastPerthFrShrRVW06E</v>
          </cell>
          <cell r="E37" t="str">
            <v>Riverwall 06 - East Perth Foreshore - Beach</v>
          </cell>
          <cell r="F37" t="str">
            <v>Mardalup Park - Beach</v>
          </cell>
          <cell r="G37" t="str">
            <v>Sand and rubble</v>
          </cell>
          <cell r="I37">
            <v>189</v>
          </cell>
          <cell r="J37" t="str">
            <v/>
          </cell>
          <cell r="L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>
            <v>46150</v>
          </cell>
        </row>
        <row r="38">
          <cell r="A38">
            <v>37</v>
          </cell>
          <cell r="B38" t="str">
            <v>VictoriaGdnsRVW001A</v>
          </cell>
          <cell r="C38" t="str">
            <v>VictoriaGdnsRVW001A</v>
          </cell>
          <cell r="E38" t="str">
            <v>Riverwall 01 - Victoria GardensPark - Rock Armour</v>
          </cell>
          <cell r="F38" t="str">
            <v>CLAISEBROOK COVE SOUTH SECTION</v>
          </cell>
          <cell r="G38" t="str">
            <v>Granite Rocks</v>
          </cell>
          <cell r="I38">
            <v>28</v>
          </cell>
          <cell r="J38">
            <v>2010</v>
          </cell>
          <cell r="L38">
            <v>13564.99206012737</v>
          </cell>
          <cell r="M38">
            <v>2</v>
          </cell>
          <cell r="N38">
            <v>8138.9952360764219</v>
          </cell>
          <cell r="O38">
            <v>40</v>
          </cell>
          <cell r="P38">
            <v>24</v>
          </cell>
          <cell r="Q38">
            <v>0</v>
          </cell>
          <cell r="R38">
            <v>2.5000000000000001E-2</v>
          </cell>
          <cell r="S38">
            <v>339.12480150318424</v>
          </cell>
          <cell r="T38">
            <v>5425.9968240509479</v>
          </cell>
          <cell r="U38">
            <v>46150</v>
          </cell>
        </row>
        <row r="39">
          <cell r="A39">
            <v>38</v>
          </cell>
          <cell r="B39" t="str">
            <v>MountsBayFrShrRVW14A</v>
          </cell>
          <cell r="D39" t="str">
            <v>MountsBayFrShrRVW14A_C2605071114</v>
          </cell>
          <cell r="E39" t="str">
            <v>Riverwall 14 - Mounts Bay Road Foreshore - Near Swan Brewery Stage 5 - [DBCA Ref: SRPer07 East Old Swan Brewery.B02]</v>
          </cell>
          <cell r="F39" t="str">
            <v>Mounts Bay Road Foreshore</v>
          </cell>
          <cell r="G39" t="str">
            <v>Limestone blocks with shotcrete, new concrete capping &amp; gabion at toe.</v>
          </cell>
          <cell r="I39">
            <v>18</v>
          </cell>
          <cell r="J39">
            <v>1970</v>
          </cell>
          <cell r="L39">
            <v>40360.704004651801</v>
          </cell>
          <cell r="M39">
            <v>3</v>
          </cell>
          <cell r="N39">
            <v>12108.211201395539</v>
          </cell>
          <cell r="O39">
            <v>80</v>
          </cell>
          <cell r="P39">
            <v>24</v>
          </cell>
          <cell r="Q39">
            <v>0</v>
          </cell>
          <cell r="R39">
            <v>1.2500000000000001E-2</v>
          </cell>
          <cell r="S39">
            <v>504.50880005814753</v>
          </cell>
          <cell r="T39">
            <v>28252.49280325626</v>
          </cell>
          <cell r="U39">
            <v>46149</v>
          </cell>
        </row>
        <row r="40">
          <cell r="A40">
            <v>39</v>
          </cell>
          <cell r="B40" t="str">
            <v>MountsBayFrShrRVW13A</v>
          </cell>
          <cell r="D40" t="str">
            <v>MountsBayFrShrRVW13A_C2605071134</v>
          </cell>
          <cell r="E40" t="str">
            <v>Riverwall 13 - Mounts Bay Road Foreshore - Vertical wall - South of Old Swan Brewery - [DBCA Ref: SRPer09 West Old Swan Brewery.B02]</v>
          </cell>
          <cell r="F40" t="str">
            <v>Mounts Bay Road Foreshore</v>
          </cell>
          <cell r="G40" t="str">
            <v>Mortared limestone rocks</v>
          </cell>
          <cell r="I40">
            <v>24</v>
          </cell>
          <cell r="J40">
            <v>1994</v>
          </cell>
          <cell r="L40">
            <v>16613.565652809091</v>
          </cell>
          <cell r="M40">
            <v>2</v>
          </cell>
          <cell r="N40">
            <v>9968.139391685454</v>
          </cell>
          <cell r="O40">
            <v>80</v>
          </cell>
          <cell r="P40">
            <v>48</v>
          </cell>
          <cell r="Q40">
            <v>0</v>
          </cell>
          <cell r="R40">
            <v>1.2500000000000001E-2</v>
          </cell>
          <cell r="S40">
            <v>207.66957066011364</v>
          </cell>
          <cell r="T40">
            <v>6645.4262611236372</v>
          </cell>
          <cell r="U40">
            <v>46149</v>
          </cell>
        </row>
        <row r="41">
          <cell r="A41">
            <v>41</v>
          </cell>
          <cell r="B41" t="str">
            <v>RiversideFrShrRVW01A</v>
          </cell>
          <cell r="D41" t="str">
            <v>RiversideFrShrRVW01A_C2605071323</v>
          </cell>
          <cell r="E41" t="str">
            <v>Riverwall 01 - Riverside Drive Foreshore - Vertical Wall</v>
          </cell>
          <cell r="F41" t="str">
            <v>Riverside Drive - See GIS record for exact location</v>
          </cell>
          <cell r="G41" t="str">
            <v>Limestone armour</v>
          </cell>
          <cell r="I41">
            <v>76</v>
          </cell>
          <cell r="J41">
            <v>1970</v>
          </cell>
          <cell r="L41">
            <v>50250.814808986681</v>
          </cell>
          <cell r="M41">
            <v>3</v>
          </cell>
          <cell r="N41">
            <v>15075.244442696003</v>
          </cell>
          <cell r="O41">
            <v>80</v>
          </cell>
          <cell r="P41">
            <v>24</v>
          </cell>
          <cell r="Q41">
            <v>0</v>
          </cell>
          <cell r="R41">
            <v>1.2500000000000001E-2</v>
          </cell>
          <cell r="S41">
            <v>628.13518511233349</v>
          </cell>
          <cell r="T41">
            <v>35175.570366290674</v>
          </cell>
          <cell r="U41">
            <v>46149</v>
          </cell>
        </row>
        <row r="42">
          <cell r="A42">
            <v>42</v>
          </cell>
          <cell r="B42" t="str">
            <v>EastPerthFrShrRVW04E</v>
          </cell>
          <cell r="D42" t="str">
            <v>EastPerthFrShrRVW04E_C2605081400</v>
          </cell>
          <cell r="E42" t="str">
            <v>Riverwall 04 - East Perth Foreshore - Granite REVETMENT</v>
          </cell>
          <cell r="F42" t="str">
            <v>East Perth Foreshore - Granite REVETMENT</v>
          </cell>
          <cell r="G42" t="str">
            <v>Granite</v>
          </cell>
          <cell r="I42">
            <v>19</v>
          </cell>
          <cell r="J42">
            <v>1970</v>
          </cell>
          <cell r="L42">
            <v>14300.184074067909</v>
          </cell>
          <cell r="M42">
            <v>3</v>
          </cell>
          <cell r="N42">
            <v>4290.0552222203723</v>
          </cell>
          <cell r="O42">
            <v>80</v>
          </cell>
          <cell r="P42">
            <v>24</v>
          </cell>
          <cell r="Q42">
            <v>0</v>
          </cell>
          <cell r="R42">
            <v>1.2500000000000001E-2</v>
          </cell>
          <cell r="S42">
            <v>178.75230092584886</v>
          </cell>
          <cell r="T42">
            <v>10010.128851847538</v>
          </cell>
          <cell r="U42">
            <v>46150</v>
          </cell>
        </row>
        <row r="43">
          <cell r="A43">
            <v>43</v>
          </cell>
          <cell r="B43" t="str">
            <v>HeirissonCOPRVW12A</v>
          </cell>
          <cell r="D43" t="str">
            <v>HeirissonCOPRVW12A_C2605081457</v>
          </cell>
          <cell r="E43" t="str">
            <v>Riverwall 12 - Heirisson Island - Beach</v>
          </cell>
          <cell r="F43" t="str">
            <v>Heirisson Island</v>
          </cell>
          <cell r="G43" t="str">
            <v>Limestone rocks and oyster shells</v>
          </cell>
          <cell r="I43">
            <v>564</v>
          </cell>
          <cell r="J43">
            <v>2006</v>
          </cell>
          <cell r="L43">
            <v>126206.0566758459</v>
          </cell>
          <cell r="M43">
            <v>5</v>
          </cell>
          <cell r="N43">
            <v>0</v>
          </cell>
          <cell r="O43">
            <v>20</v>
          </cell>
          <cell r="P43">
            <v>0</v>
          </cell>
          <cell r="Q43">
            <v>0</v>
          </cell>
          <cell r="R43">
            <v>0.05</v>
          </cell>
          <cell r="S43">
            <v>6310.3028337922951</v>
          </cell>
          <cell r="T43">
            <v>126206.0566758459</v>
          </cell>
          <cell r="U43">
            <v>46150</v>
          </cell>
        </row>
        <row r="44">
          <cell r="A44">
            <v>44</v>
          </cell>
          <cell r="B44" t="str">
            <v>HeirissonCOPRVW10A</v>
          </cell>
          <cell r="D44" t="str">
            <v>HeirissonCOPRVW10A_C2605081520</v>
          </cell>
          <cell r="E44" t="str">
            <v>Riverwall 10 - Heirisson Island - BIOENGINEERING</v>
          </cell>
          <cell r="F44" t="str">
            <v>Heirisson Island</v>
          </cell>
          <cell r="G44" t="str">
            <v>Wooden stakes, some brush walls</v>
          </cell>
          <cell r="I44">
            <v>78</v>
          </cell>
          <cell r="J44">
            <v>2011</v>
          </cell>
          <cell r="L44">
            <v>34595.792171880865</v>
          </cell>
          <cell r="M44">
            <v>5</v>
          </cell>
          <cell r="N44">
            <v>0</v>
          </cell>
          <cell r="O44">
            <v>15</v>
          </cell>
          <cell r="P44">
            <v>0</v>
          </cell>
          <cell r="Q44">
            <v>0</v>
          </cell>
          <cell r="R44">
            <v>6.6666666666666666E-2</v>
          </cell>
          <cell r="S44">
            <v>2306.3861447920576</v>
          </cell>
          <cell r="T44">
            <v>34595.792171880865</v>
          </cell>
          <cell r="U44">
            <v>46150</v>
          </cell>
        </row>
        <row r="45">
          <cell r="A45">
            <v>45</v>
          </cell>
          <cell r="B45" t="str">
            <v>HeirissonCOPRVW13A</v>
          </cell>
          <cell r="D45" t="str">
            <v>HeirissonCOPRVW13A_C2605081550</v>
          </cell>
          <cell r="E45" t="str">
            <v>Riverwall 13 - Heirisson Island - REVETMENT</v>
          </cell>
          <cell r="F45" t="str">
            <v>Heirisson Island</v>
          </cell>
          <cell r="G45" t="str">
            <v>Loose limestone rip rap revetment</v>
          </cell>
          <cell r="I45">
            <v>93</v>
          </cell>
          <cell r="J45">
            <v>1994</v>
          </cell>
          <cell r="L45">
            <v>61491.128647838967</v>
          </cell>
          <cell r="M45">
            <v>2</v>
          </cell>
          <cell r="N45">
            <v>36894.677188703376</v>
          </cell>
          <cell r="O45">
            <v>80</v>
          </cell>
          <cell r="P45">
            <v>48</v>
          </cell>
          <cell r="Q45">
            <v>0</v>
          </cell>
          <cell r="R45">
            <v>1.2500000000000001E-2</v>
          </cell>
          <cell r="S45">
            <v>768.6391080979871</v>
          </cell>
          <cell r="T45">
            <v>24596.451459135591</v>
          </cell>
          <cell r="U45">
            <v>46150</v>
          </cell>
        </row>
        <row r="46">
          <cell r="A46">
            <v>46</v>
          </cell>
          <cell r="B46" t="str">
            <v>MardalupPkRVW08A</v>
          </cell>
          <cell r="D46" t="str">
            <v>MardalupPkRVW08A_C2605081631</v>
          </cell>
          <cell r="E46" t="str">
            <v>Riverwall 08 - Mardalup Park - Natural Limestone Wall</v>
          </cell>
          <cell r="F46" t="str">
            <v>Mardalup Park - Rock revetment groyne</v>
          </cell>
          <cell r="G46" t="str">
            <v>Natural limestone block</v>
          </cell>
          <cell r="I46">
            <v>31</v>
          </cell>
          <cell r="J46">
            <v>1994</v>
          </cell>
          <cell r="L46">
            <v>64679.557540689886</v>
          </cell>
          <cell r="M46">
            <v>2</v>
          </cell>
          <cell r="N46">
            <v>38807.734524413929</v>
          </cell>
          <cell r="O46">
            <v>80</v>
          </cell>
          <cell r="P46">
            <v>48</v>
          </cell>
          <cell r="Q46">
            <v>0</v>
          </cell>
          <cell r="R46">
            <v>1.2500000000000001E-2</v>
          </cell>
          <cell r="S46">
            <v>808.49446925862355</v>
          </cell>
          <cell r="T46">
            <v>25871.823016275957</v>
          </cell>
          <cell r="U46">
            <v>46150</v>
          </cell>
        </row>
        <row r="47">
          <cell r="A47">
            <v>47</v>
          </cell>
          <cell r="B47" t="str">
            <v>RiversideFrShrRVW05A</v>
          </cell>
          <cell r="D47" t="str">
            <v>RiversideFrShrRVW05A_C2605101539</v>
          </cell>
          <cell r="E47" t="str">
            <v>Riverwall 05 - Riverside Drive Foreshore - Vertical Wall</v>
          </cell>
          <cell r="F47" t="str">
            <v>Riverside Drive - See GIS record for exact location</v>
          </cell>
          <cell r="G47" t="str">
            <v>Block wall with shotcrete and limestone rock back fill</v>
          </cell>
          <cell r="I47">
            <v>23</v>
          </cell>
          <cell r="J47">
            <v>1970</v>
          </cell>
          <cell r="L47">
            <v>51572.010672610631</v>
          </cell>
          <cell r="M47">
            <v>3</v>
          </cell>
          <cell r="N47">
            <v>15471.603201783189</v>
          </cell>
          <cell r="O47">
            <v>80</v>
          </cell>
          <cell r="P47">
            <v>24</v>
          </cell>
          <cell r="Q47">
            <v>0</v>
          </cell>
          <cell r="R47">
            <v>1.2500000000000001E-2</v>
          </cell>
          <cell r="S47">
            <v>644.65013340763289</v>
          </cell>
          <cell r="T47">
            <v>36100.407470827442</v>
          </cell>
          <cell r="U47">
            <v>46149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maining Life"/>
      <sheetName val="Client copy 16 Components"/>
      <sheetName val="Drop Down Items"/>
    </sheetNames>
    <sheetDataSet>
      <sheetData sheetId="0" refreshError="1"/>
      <sheetData sheetId="1" refreshError="1"/>
      <sheetData sheetId="2" refreshError="1">
        <row r="2">
          <cell r="A2" t="str">
            <v>Contains</v>
          </cell>
          <cell r="B2" t="str">
            <v>Bargara WWTP Catchment</v>
          </cell>
          <cell r="C2" t="str">
            <v>Admin Building</v>
          </cell>
        </row>
        <row r="3">
          <cell r="A3" t="str">
            <v>Not Confirmed</v>
          </cell>
          <cell r="B3" t="str">
            <v>Branyan WTP Scheme</v>
          </cell>
          <cell r="C3" t="str">
            <v>Airport Terminal</v>
          </cell>
        </row>
        <row r="4">
          <cell r="A4" t="str">
            <v>Not Contains</v>
          </cell>
          <cell r="B4" t="str">
            <v>Bundaberg Depot WTP Scheme</v>
          </cell>
          <cell r="C4" t="str">
            <v>Art Gallery</v>
          </cell>
        </row>
        <row r="5">
          <cell r="B5" t="str">
            <v>Bundaberg East WWTP Catchment</v>
          </cell>
          <cell r="C5" t="str">
            <v>Awning</v>
          </cell>
        </row>
        <row r="6">
          <cell r="B6" t="str">
            <v>Bundaberg North WWTP Catchment</v>
          </cell>
          <cell r="C6" t="str">
            <v>BBQ (with shelter)</v>
          </cell>
        </row>
        <row r="7">
          <cell r="B7" t="str">
            <v>Childers WWTP Catchment</v>
          </cell>
          <cell r="C7" t="str">
            <v>BBQ Area</v>
          </cell>
        </row>
        <row r="8">
          <cell r="B8" t="str">
            <v>Coral Cove WWTP Catchment</v>
          </cell>
          <cell r="C8" t="str">
            <v>BBQ'S X2</v>
          </cell>
        </row>
        <row r="9">
          <cell r="B9" t="str">
            <v>Dr Mays Road WTP Scheme</v>
          </cell>
          <cell r="C9" t="str">
            <v>Boardwalk &amp; Lookout</v>
          </cell>
        </row>
        <row r="10">
          <cell r="B10" t="str">
            <v>Gin Gin WTP Scheme</v>
          </cell>
          <cell r="C10" t="str">
            <v>Brick Shed</v>
          </cell>
        </row>
        <row r="11">
          <cell r="B11" t="str">
            <v>Gin Gin WWTP Catchment</v>
          </cell>
          <cell r="C11" t="str">
            <v>Brick Veneer Building</v>
          </cell>
        </row>
        <row r="12">
          <cell r="B12" t="str">
            <v>Gooburrum WTP Scheme</v>
          </cell>
          <cell r="C12" t="str">
            <v>Building (Shelter)</v>
          </cell>
        </row>
        <row r="13">
          <cell r="B13" t="str">
            <v>Gregory River WTP Scheme</v>
          </cell>
          <cell r="C13" t="str">
            <v>Bus Shelter</v>
          </cell>
        </row>
        <row r="14">
          <cell r="B14" t="str">
            <v>Heaps Streat WTP Scheme</v>
          </cell>
          <cell r="C14" t="str">
            <v>Cabin</v>
          </cell>
        </row>
        <row r="15">
          <cell r="B15" t="str">
            <v>Kalkie WTP Scheme</v>
          </cell>
          <cell r="C15" t="str">
            <v>Carport</v>
          </cell>
        </row>
        <row r="16">
          <cell r="B16" t="str">
            <v>Lake Monduran WTP Scheme</v>
          </cell>
          <cell r="C16" t="str">
            <v>Chemical Shelter</v>
          </cell>
        </row>
        <row r="17">
          <cell r="B17" t="str">
            <v>Lovers Walk WTP Scheme</v>
          </cell>
          <cell r="C17" t="str">
            <v>Clubhouse</v>
          </cell>
        </row>
        <row r="18">
          <cell r="B18" t="str">
            <v>Millbank WWTP Catchment</v>
          </cell>
          <cell r="C18" t="str">
            <v>Commercial Building</v>
          </cell>
        </row>
        <row r="19">
          <cell r="B19" t="str">
            <v>Murdochs Road Ground WTP Scheme</v>
          </cell>
          <cell r="C19" t="str">
            <v>Commercial Premises</v>
          </cell>
        </row>
        <row r="20">
          <cell r="B20" t="str">
            <v>North WWTP Catchment</v>
          </cell>
          <cell r="C20" t="str">
            <v>Communications Tower Shed</v>
          </cell>
        </row>
        <row r="21">
          <cell r="B21" t="str">
            <v>Other Council Buildings</v>
          </cell>
          <cell r="C21" t="str">
            <v>Community Building</v>
          </cell>
        </row>
        <row r="22">
          <cell r="B22" t="str">
            <v>Peatey Street WTP Scheme</v>
          </cell>
          <cell r="C22" t="str">
            <v>Control Building</v>
          </cell>
        </row>
        <row r="23">
          <cell r="B23" t="str">
            <v>Powers Street WTP Scheme</v>
          </cell>
          <cell r="C23" t="str">
            <v>Control Treatment Building</v>
          </cell>
        </row>
        <row r="24">
          <cell r="B24" t="str">
            <v>River Park WTP Scheme</v>
          </cell>
          <cell r="C24" t="str">
            <v>Double Garage</v>
          </cell>
        </row>
        <row r="25">
          <cell r="B25" t="str">
            <v>Rocky Point WTP Scheme</v>
          </cell>
          <cell r="C25" t="str">
            <v>Drinking Fountain</v>
          </cell>
        </row>
        <row r="26">
          <cell r="B26" t="str">
            <v>Shelter</v>
          </cell>
          <cell r="C26" t="str">
            <v>Dwelling Units</v>
          </cell>
        </row>
        <row r="27">
          <cell r="B27" t="str">
            <v>Thabeban WWTP Catchment</v>
          </cell>
          <cell r="C27" t="str">
            <v>Fibreglass Shelter</v>
          </cell>
        </row>
        <row r="28">
          <cell r="B28" t="str">
            <v>Vecellios Road Surface WTP Scheme</v>
          </cell>
          <cell r="C28" t="str">
            <v>Gazebo</v>
          </cell>
        </row>
        <row r="29">
          <cell r="B29" t="str">
            <v>Woodgate WWTP Catchment</v>
          </cell>
          <cell r="C29" t="str">
            <v>Generator Cover</v>
          </cell>
        </row>
        <row r="30">
          <cell r="C30" t="str">
            <v>Grandstand</v>
          </cell>
        </row>
        <row r="31">
          <cell r="C31" t="str">
            <v>Grandstand Building</v>
          </cell>
        </row>
        <row r="32">
          <cell r="C32" t="str">
            <v>Greenhouse/Shadehouse</v>
          </cell>
        </row>
        <row r="33">
          <cell r="C33" t="str">
            <v>Hall</v>
          </cell>
        </row>
        <row r="34">
          <cell r="C34" t="str">
            <v>Hangar</v>
          </cell>
        </row>
        <row r="35">
          <cell r="C35" t="str">
            <v>Historic Lighthouse</v>
          </cell>
        </row>
        <row r="36">
          <cell r="C36" t="str">
            <v>House</v>
          </cell>
        </row>
        <row r="37">
          <cell r="C37" t="str">
            <v>Kiosk</v>
          </cell>
        </row>
        <row r="38">
          <cell r="C38" t="str">
            <v xml:space="preserve">Library </v>
          </cell>
        </row>
        <row r="39">
          <cell r="C39" t="str">
            <v>Maintenance Building</v>
          </cell>
        </row>
        <row r="40">
          <cell r="C40" t="str">
            <v>New Generator Shed</v>
          </cell>
        </row>
        <row r="41">
          <cell r="C41" t="str">
            <v>No 3 Ensuite Cabin</v>
          </cell>
        </row>
        <row r="42">
          <cell r="C42" t="str">
            <v>Office Building</v>
          </cell>
        </row>
        <row r="43">
          <cell r="C43" t="str">
            <v>Other</v>
          </cell>
        </row>
        <row r="44">
          <cell r="C44" t="str">
            <v>Park Cabins 2</v>
          </cell>
        </row>
        <row r="45">
          <cell r="C45" t="str">
            <v>Park Cabins 3</v>
          </cell>
        </row>
        <row r="46">
          <cell r="C46" t="str">
            <v>Park Cabins 4</v>
          </cell>
        </row>
        <row r="47">
          <cell r="C47" t="str">
            <v>Picnic Area</v>
          </cell>
        </row>
        <row r="48">
          <cell r="C48" t="str">
            <v>Picnic Shelter</v>
          </cell>
        </row>
        <row r="49">
          <cell r="C49" t="str">
            <v>Picnic Shelter &amp; Table</v>
          </cell>
        </row>
        <row r="50">
          <cell r="C50" t="str">
            <v>Picnic Shelters x4</v>
          </cell>
        </row>
        <row r="51">
          <cell r="C51" t="str">
            <v>Playground Shade Structure</v>
          </cell>
        </row>
        <row r="52">
          <cell r="C52" t="str">
            <v>Pump House</v>
          </cell>
        </row>
        <row r="53">
          <cell r="C53" t="str">
            <v>Rechlorination Building</v>
          </cell>
        </row>
        <row r="54">
          <cell r="C54" t="str">
            <v>Sand Storage Area</v>
          </cell>
        </row>
        <row r="55">
          <cell r="C55" t="str">
            <v>Shade Shelter</v>
          </cell>
        </row>
        <row r="56">
          <cell r="C56" t="str">
            <v>Shade Structure</v>
          </cell>
        </row>
        <row r="57">
          <cell r="C57" t="str">
            <v>Shade Structure (Playground)</v>
          </cell>
        </row>
        <row r="58">
          <cell r="C58" t="str">
            <v>Shadehouse</v>
          </cell>
        </row>
        <row r="59">
          <cell r="C59" t="str">
            <v>Shed</v>
          </cell>
        </row>
        <row r="60">
          <cell r="C60" t="str">
            <v>Shelter</v>
          </cell>
        </row>
        <row r="61">
          <cell r="C61" t="str">
            <v>Shelter - Rainforest</v>
          </cell>
        </row>
        <row r="62">
          <cell r="C62" t="str">
            <v>Stables</v>
          </cell>
        </row>
        <row r="63">
          <cell r="C63" t="str">
            <v>Storage Facility</v>
          </cell>
        </row>
        <row r="64">
          <cell r="C64" t="str">
            <v>Storage Room</v>
          </cell>
        </row>
        <row r="65">
          <cell r="C65" t="str">
            <v>Storage Shed</v>
          </cell>
        </row>
        <row r="66">
          <cell r="C66" t="str">
            <v>Switchboard Room</v>
          </cell>
        </row>
        <row r="67">
          <cell r="C67" t="str">
            <v>Tank Canopy</v>
          </cell>
        </row>
        <row r="68">
          <cell r="C68" t="str">
            <v>Theatre</v>
          </cell>
        </row>
        <row r="69">
          <cell r="C69" t="str">
            <v>Timber Building</v>
          </cell>
        </row>
        <row r="70">
          <cell r="C70" t="str">
            <v>Time Keepers Office</v>
          </cell>
        </row>
        <row r="71">
          <cell r="C71" t="str">
            <v>Tin Shed</v>
          </cell>
        </row>
        <row r="72">
          <cell r="C72" t="str">
            <v>Toilet Block</v>
          </cell>
        </row>
        <row r="73">
          <cell r="C73" t="str">
            <v>Transfer Station Building</v>
          </cell>
        </row>
        <row r="74">
          <cell r="C74" t="str">
            <v>Weighbridge Gatehouse</v>
          </cell>
        </row>
        <row r="75">
          <cell r="C75" t="str">
            <v>Wooden Building</v>
          </cell>
        </row>
        <row r="76">
          <cell r="C76" t="str">
            <v>Wooden Shed</v>
          </cell>
        </row>
        <row r="77">
          <cell r="C77" t="str">
            <v>Zoo - Playground Entry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Photos\riverwall-assets_20260508151327106_image_0007.jpg" TargetMode="External"/><Relationship Id="rId21" Type="http://schemas.openxmlformats.org/officeDocument/2006/relationships/hyperlink" Target="Photos\riverwall-assets_20260508135558038_image_0007.jpg" TargetMode="External"/><Relationship Id="rId42" Type="http://schemas.openxmlformats.org/officeDocument/2006/relationships/hyperlink" Target="Photos\riverwall-assets_20260508145936536_image_0007.jpg" TargetMode="External"/><Relationship Id="rId47" Type="http://schemas.openxmlformats.org/officeDocument/2006/relationships/hyperlink" Target="Photos\riverwall-assets_20260508144517594_image_0007.jpg" TargetMode="External"/><Relationship Id="rId63" Type="http://schemas.openxmlformats.org/officeDocument/2006/relationships/hyperlink" Target="Photos\riverwall-assets_20260510154135870_image_0007.jpg" TargetMode="External"/><Relationship Id="rId68" Type="http://schemas.openxmlformats.org/officeDocument/2006/relationships/hyperlink" Target="Photos\riverwall-assets_20260510152230285_image_0007.jpg" TargetMode="External"/><Relationship Id="rId84" Type="http://schemas.openxmlformats.org/officeDocument/2006/relationships/hyperlink" Target="Photos\riverwall-assets_20260508163131624_image_0007.jpg" TargetMode="External"/><Relationship Id="rId89" Type="http://schemas.openxmlformats.org/officeDocument/2006/relationships/hyperlink" Target="Photos\riverwall-assets_20260508163838218_image_0007.jpg" TargetMode="External"/><Relationship Id="rId16" Type="http://schemas.openxmlformats.org/officeDocument/2006/relationships/hyperlink" Target="Photos\riverwall-assets_20260507150923104_image_0007.jpg" TargetMode="External"/><Relationship Id="rId11" Type="http://schemas.openxmlformats.org/officeDocument/2006/relationships/hyperlink" Target="Photos\riverwall-assets_20260507114315159_image_0004.jpg" TargetMode="External"/><Relationship Id="rId32" Type="http://schemas.openxmlformats.org/officeDocument/2006/relationships/hyperlink" Target="Photos\riverwall-assets_20260508163236376_image_0007.jpg" TargetMode="External"/><Relationship Id="rId37" Type="http://schemas.openxmlformats.org/officeDocument/2006/relationships/hyperlink" Target="Photos\riverwall-assets_20260508132140020_image_0007.jpg" TargetMode="External"/><Relationship Id="rId53" Type="http://schemas.openxmlformats.org/officeDocument/2006/relationships/hyperlink" Target="Photos\riverwall-assets_20260508162907509_image_0007.jpg" TargetMode="External"/><Relationship Id="rId58" Type="http://schemas.openxmlformats.org/officeDocument/2006/relationships/hyperlink" Target="Photos\riverwall-assets_20260507113255017_image_0003.jpg" TargetMode="External"/><Relationship Id="rId74" Type="http://schemas.openxmlformats.org/officeDocument/2006/relationships/hyperlink" Target="Photos\riverwall-assets_20260508163403633_image_0007.jpg" TargetMode="External"/><Relationship Id="rId79" Type="http://schemas.openxmlformats.org/officeDocument/2006/relationships/hyperlink" Target="Photos\riverwall-assets_20260507111632129_image_0003.jpg" TargetMode="External"/><Relationship Id="rId102" Type="http://schemas.openxmlformats.org/officeDocument/2006/relationships/hyperlink" Target="Photos\riverwall-assets_20260508140404165_image_0007.jpg" TargetMode="External"/><Relationship Id="rId5" Type="http://schemas.openxmlformats.org/officeDocument/2006/relationships/hyperlink" Target="Photos\riverwall-assets_20260508150932691_image_0007.jpg" TargetMode="External"/><Relationship Id="rId90" Type="http://schemas.openxmlformats.org/officeDocument/2006/relationships/hyperlink" Target="Photos\riverwall-assets_20260507122800971_image_0005.jpg" TargetMode="External"/><Relationship Id="rId95" Type="http://schemas.openxmlformats.org/officeDocument/2006/relationships/hyperlink" Target="Photos\riverwall-assets_20260510154219481_image_0007.jpg" TargetMode="External"/><Relationship Id="rId22" Type="http://schemas.openxmlformats.org/officeDocument/2006/relationships/hyperlink" Target="Photos\riverwall-assets_20260508142251480_image_0007.jpg" TargetMode="External"/><Relationship Id="rId27" Type="http://schemas.openxmlformats.org/officeDocument/2006/relationships/hyperlink" Target="Photos\riverwall-assets_20260508145014765_image_0007.jpg" TargetMode="External"/><Relationship Id="rId43" Type="http://schemas.openxmlformats.org/officeDocument/2006/relationships/hyperlink" Target="Photos\riverwall-assets_20260508152133914_image_0007.jpg" TargetMode="External"/><Relationship Id="rId48" Type="http://schemas.openxmlformats.org/officeDocument/2006/relationships/hyperlink" Target="Photos\riverwall-assets_20260508144248151_image_0007.jpg" TargetMode="External"/><Relationship Id="rId64" Type="http://schemas.openxmlformats.org/officeDocument/2006/relationships/hyperlink" Target="Photos\riverwall-assets_20260510153610541_image_0007.jpg" TargetMode="External"/><Relationship Id="rId69" Type="http://schemas.openxmlformats.org/officeDocument/2006/relationships/hyperlink" Target="Photos\riverwall-assets_20260510152913954_image_0007.jpg" TargetMode="External"/><Relationship Id="rId80" Type="http://schemas.openxmlformats.org/officeDocument/2006/relationships/hyperlink" Target="Photos\riverwall-assets_20260507132606556_image_0007.jpg" TargetMode="External"/><Relationship Id="rId85" Type="http://schemas.openxmlformats.org/officeDocument/2006/relationships/hyperlink" Target="Photos\riverwall-assets_20260508144802939_image_0007.jpg" TargetMode="External"/><Relationship Id="rId12" Type="http://schemas.openxmlformats.org/officeDocument/2006/relationships/hyperlink" Target="Photos\riverwall-assets_20260507113908285_image_0003.jpg" TargetMode="External"/><Relationship Id="rId17" Type="http://schemas.openxmlformats.org/officeDocument/2006/relationships/hyperlink" Target="Photos\riverwall-assets_20260510154445509_image_0008.jpg" TargetMode="External"/><Relationship Id="rId33" Type="http://schemas.openxmlformats.org/officeDocument/2006/relationships/hyperlink" Target="Photos\riverwall-assets_20260508163358747_image_0007.jpg" TargetMode="External"/><Relationship Id="rId38" Type="http://schemas.openxmlformats.org/officeDocument/2006/relationships/hyperlink" Target="Photos\riverwall-assets_20260507111600397_image_0003.jpg" TargetMode="External"/><Relationship Id="rId59" Type="http://schemas.openxmlformats.org/officeDocument/2006/relationships/hyperlink" Target="Photos\riverwall-assets_20260507111006248_image_0002.jpg" TargetMode="External"/><Relationship Id="rId103" Type="http://schemas.openxmlformats.org/officeDocument/2006/relationships/hyperlink" Target="Photos\riverwall-assets_20260508132641741_image_0007.jpg" TargetMode="External"/><Relationship Id="rId20" Type="http://schemas.openxmlformats.org/officeDocument/2006/relationships/hyperlink" Target="Photos\riverwall-assets_20260510153349644_image_0007.jpg" TargetMode="External"/><Relationship Id="rId41" Type="http://schemas.openxmlformats.org/officeDocument/2006/relationships/hyperlink" Target="Photos\riverwall-assets_20260508140118284_image_0007.jpg" TargetMode="External"/><Relationship Id="rId54" Type="http://schemas.openxmlformats.org/officeDocument/2006/relationships/hyperlink" Target="Photos\riverwall-assets_20260507122345006_image_0005.jpg" TargetMode="External"/><Relationship Id="rId62" Type="http://schemas.openxmlformats.org/officeDocument/2006/relationships/hyperlink" Target="Photos\riverwall-assets_20260510154556886_image_0008.jpg" TargetMode="External"/><Relationship Id="rId70" Type="http://schemas.openxmlformats.org/officeDocument/2006/relationships/hyperlink" Target="Photos\riverwall-assets_20260508151413703_image_0007.jpg" TargetMode="External"/><Relationship Id="rId75" Type="http://schemas.openxmlformats.org/officeDocument/2006/relationships/hyperlink" Target="Photos\riverwall-assets_20260508163637997_image_0007.jpg" TargetMode="External"/><Relationship Id="rId83" Type="http://schemas.openxmlformats.org/officeDocument/2006/relationships/hyperlink" Target="Photos\riverwall-assets_20260508155137225_image_0007.jpg" TargetMode="External"/><Relationship Id="rId88" Type="http://schemas.openxmlformats.org/officeDocument/2006/relationships/hyperlink" Target="Photos\riverwall-assets_20260508151212761_image_0007.jpg" TargetMode="External"/><Relationship Id="rId91" Type="http://schemas.openxmlformats.org/officeDocument/2006/relationships/hyperlink" Target="Photos\riverwall-assets_20260507115333079_image_0005.jpg" TargetMode="External"/><Relationship Id="rId96" Type="http://schemas.openxmlformats.org/officeDocument/2006/relationships/hyperlink" Target="Photos\riverwall-assets_20260510153756152_image_0007.jpg" TargetMode="External"/><Relationship Id="rId1" Type="http://schemas.openxmlformats.org/officeDocument/2006/relationships/hyperlink" Target="Photos\riverwall-assets_20260508144500931_image_0007.jpg" TargetMode="External"/><Relationship Id="rId6" Type="http://schemas.openxmlformats.org/officeDocument/2006/relationships/hyperlink" Target="Photos\riverwall-assets_20260508163927783_image_0007.jpg" TargetMode="External"/><Relationship Id="rId15" Type="http://schemas.openxmlformats.org/officeDocument/2006/relationships/hyperlink" Target="Photos\riverwall-assets_20260507131219925_image_0005.jpg" TargetMode="External"/><Relationship Id="rId23" Type="http://schemas.openxmlformats.org/officeDocument/2006/relationships/hyperlink" Target="Photos\riverwall-assets_20260510151902852_image_0007.jpg" TargetMode="External"/><Relationship Id="rId28" Type="http://schemas.openxmlformats.org/officeDocument/2006/relationships/hyperlink" Target="Photos\riverwall-assets_20260508154640611_image_0007.jpg" TargetMode="External"/><Relationship Id="rId36" Type="http://schemas.openxmlformats.org/officeDocument/2006/relationships/hyperlink" Target="Photos\riverwall-assets_20260508134837943_image_0007.jpg" TargetMode="External"/><Relationship Id="rId49" Type="http://schemas.openxmlformats.org/officeDocument/2006/relationships/hyperlink" Target="Photos\riverwall-assets_20260508153219904_image_0007.jpg" TargetMode="External"/><Relationship Id="rId57" Type="http://schemas.openxmlformats.org/officeDocument/2006/relationships/hyperlink" Target="Photos\riverwall-assets_20260507114141208_image_0003.jpg" TargetMode="External"/><Relationship Id="rId10" Type="http://schemas.openxmlformats.org/officeDocument/2006/relationships/hyperlink" Target="Photos\riverwall-assets_20260507114616144_image_0005.jpg" TargetMode="External"/><Relationship Id="rId31" Type="http://schemas.openxmlformats.org/officeDocument/2006/relationships/hyperlink" Target="Photos\riverwall-assets_20260508152430832_image_0007.jpg" TargetMode="External"/><Relationship Id="rId44" Type="http://schemas.openxmlformats.org/officeDocument/2006/relationships/hyperlink" Target="Photos\riverwall-assets_20260508155117537_image_0007.jpg" TargetMode="External"/><Relationship Id="rId52" Type="http://schemas.openxmlformats.org/officeDocument/2006/relationships/hyperlink" Target="Photos\riverwall-assets_20260508163828764_image_0007.jpg" TargetMode="External"/><Relationship Id="rId60" Type="http://schemas.openxmlformats.org/officeDocument/2006/relationships/hyperlink" Target="Photos\riverwall-assets_20260507132003312_image_0006.jpg" TargetMode="External"/><Relationship Id="rId65" Type="http://schemas.openxmlformats.org/officeDocument/2006/relationships/hyperlink" Target="Photos\riverwall-assets_20260510153357997_image_0007.jpg" TargetMode="External"/><Relationship Id="rId73" Type="http://schemas.openxmlformats.org/officeDocument/2006/relationships/hyperlink" Target="Photos\riverwall-assets_20260508151705259_image_0007.jpg" TargetMode="External"/><Relationship Id="rId78" Type="http://schemas.openxmlformats.org/officeDocument/2006/relationships/hyperlink" Target="Photos\riverwall-assets_20260508132156583_image_0007.jpg" TargetMode="External"/><Relationship Id="rId81" Type="http://schemas.openxmlformats.org/officeDocument/2006/relationships/hyperlink" Target="Photos\riverwall-assets_20260508140127402_image_0007.jpg" TargetMode="External"/><Relationship Id="rId86" Type="http://schemas.openxmlformats.org/officeDocument/2006/relationships/hyperlink" Target="Photos\riverwall-assets_20260508144308785_image_0007.jpg" TargetMode="External"/><Relationship Id="rId94" Type="http://schemas.openxmlformats.org/officeDocument/2006/relationships/hyperlink" Target="Photos\riverwall-assets_20260507133312885_image_0007.jpg" TargetMode="External"/><Relationship Id="rId99" Type="http://schemas.openxmlformats.org/officeDocument/2006/relationships/hyperlink" Target="Photos\riverwall-assets_20260508145524882_image_0007.jpg" TargetMode="External"/><Relationship Id="rId101" Type="http://schemas.openxmlformats.org/officeDocument/2006/relationships/hyperlink" Target="Photos\riverwall-assets_20260508163714056_image_0007.jpg" TargetMode="External"/><Relationship Id="rId4" Type="http://schemas.openxmlformats.org/officeDocument/2006/relationships/hyperlink" Target="Photos\riverwall-assets_20260508152842910_image_0007.jpg" TargetMode="External"/><Relationship Id="rId9" Type="http://schemas.openxmlformats.org/officeDocument/2006/relationships/hyperlink" Target="Photos\riverwall-assets_20260507122155748_image_0005.jpg" TargetMode="External"/><Relationship Id="rId13" Type="http://schemas.openxmlformats.org/officeDocument/2006/relationships/hyperlink" Target="Photos\riverwall-assets_20260507113246540_image_0003.jpg" TargetMode="External"/><Relationship Id="rId18" Type="http://schemas.openxmlformats.org/officeDocument/2006/relationships/hyperlink" Target="Photos\riverwall-assets_20260510125819176_image_0007.jpg" TargetMode="External"/><Relationship Id="rId39" Type="http://schemas.openxmlformats.org/officeDocument/2006/relationships/hyperlink" Target="Photos\riverwall-assets_20260507113516762_image_0003.jpg" TargetMode="External"/><Relationship Id="rId34" Type="http://schemas.openxmlformats.org/officeDocument/2006/relationships/hyperlink" Target="Photos\riverwall-assets_20260508163522228_image_0007.jpg" TargetMode="External"/><Relationship Id="rId50" Type="http://schemas.openxmlformats.org/officeDocument/2006/relationships/hyperlink" Target="Photos\riverwall-assets_20260508151157976_image_0007.jpg" TargetMode="External"/><Relationship Id="rId55" Type="http://schemas.openxmlformats.org/officeDocument/2006/relationships/hyperlink" Target="Photos\riverwall-assets_20260507114809106_image_0005.jpg" TargetMode="External"/><Relationship Id="rId76" Type="http://schemas.openxmlformats.org/officeDocument/2006/relationships/hyperlink" Target="Photos\riverwall-assets_20260508140355056_image_0007.jpg" TargetMode="External"/><Relationship Id="rId97" Type="http://schemas.openxmlformats.org/officeDocument/2006/relationships/hyperlink" Target="Photos\riverwall-assets_20260510153437592_image_0007.jpg" TargetMode="External"/><Relationship Id="rId104" Type="http://schemas.openxmlformats.org/officeDocument/2006/relationships/hyperlink" Target="Photos\riverwall-assets_20260507132618982_image_0007.jpg" TargetMode="External"/><Relationship Id="rId7" Type="http://schemas.openxmlformats.org/officeDocument/2006/relationships/hyperlink" Target="Photos\riverwall-assets_20260508163811968_image_0007.jpg" TargetMode="External"/><Relationship Id="rId71" Type="http://schemas.openxmlformats.org/officeDocument/2006/relationships/hyperlink" Target="Photos\riverwall-assets_20260508145308562_image_0007.jpg" TargetMode="External"/><Relationship Id="rId92" Type="http://schemas.openxmlformats.org/officeDocument/2006/relationships/hyperlink" Target="Photos\riverwall-assets_20260507111154717_image_0003.jpg" TargetMode="External"/><Relationship Id="rId2" Type="http://schemas.openxmlformats.org/officeDocument/2006/relationships/hyperlink" Target="Photos\riverwall-assets_20260508143931494_image_0007.jpg" TargetMode="External"/><Relationship Id="rId29" Type="http://schemas.openxmlformats.org/officeDocument/2006/relationships/hyperlink" Target="Photos\riverwall-assets_20260508151619187_image_0007.jpg" TargetMode="External"/><Relationship Id="rId24" Type="http://schemas.openxmlformats.org/officeDocument/2006/relationships/hyperlink" Target="Photos\riverwall-assets_20260510152216249_image_0007.jpg" TargetMode="External"/><Relationship Id="rId40" Type="http://schemas.openxmlformats.org/officeDocument/2006/relationships/hyperlink" Target="Photos\riverwall-assets_20260507132537068_image_0007.jpg" TargetMode="External"/><Relationship Id="rId45" Type="http://schemas.openxmlformats.org/officeDocument/2006/relationships/hyperlink" Target="Photos\riverwall-assets_20260508163121347_image_0007.jpg" TargetMode="External"/><Relationship Id="rId66" Type="http://schemas.openxmlformats.org/officeDocument/2006/relationships/hyperlink" Target="Photos\riverwall-assets_20260508135649961_image_0007.jpg" TargetMode="External"/><Relationship Id="rId87" Type="http://schemas.openxmlformats.org/officeDocument/2006/relationships/hyperlink" Target="Photos\riverwall-assets_20260508153514598_image_0007.jpg" TargetMode="External"/><Relationship Id="rId61" Type="http://schemas.openxmlformats.org/officeDocument/2006/relationships/hyperlink" Target="Photos\riverwall-assets_20260507150554263_image_0007.jpg" TargetMode="External"/><Relationship Id="rId82" Type="http://schemas.openxmlformats.org/officeDocument/2006/relationships/hyperlink" Target="Photos\riverwall-assets_20260508145834409_image_0007.jpg" TargetMode="External"/><Relationship Id="rId19" Type="http://schemas.openxmlformats.org/officeDocument/2006/relationships/hyperlink" Target="Photos\riverwall-assets_20260510153548944_image_0007.jpg" TargetMode="External"/><Relationship Id="rId14" Type="http://schemas.openxmlformats.org/officeDocument/2006/relationships/hyperlink" Target="Photos\riverwall-assets_20260507110324929_image_0002.jpg" TargetMode="External"/><Relationship Id="rId30" Type="http://schemas.openxmlformats.org/officeDocument/2006/relationships/hyperlink" Target="Photos\riverwall-assets_20260508152252352_image_0007.jpg" TargetMode="External"/><Relationship Id="rId35" Type="http://schemas.openxmlformats.org/officeDocument/2006/relationships/hyperlink" Target="Photos\riverwall-assets_20260508135923429_image_0007.jpg" TargetMode="External"/><Relationship Id="rId56" Type="http://schemas.openxmlformats.org/officeDocument/2006/relationships/hyperlink" Target="Photos\riverwall-assets_20260507114409274_image_0004.jpg" TargetMode="External"/><Relationship Id="rId77" Type="http://schemas.openxmlformats.org/officeDocument/2006/relationships/hyperlink" Target="Photos\riverwall-assets_20260508134853199_image_0007.jpg" TargetMode="External"/><Relationship Id="rId100" Type="http://schemas.openxmlformats.org/officeDocument/2006/relationships/hyperlink" Target="Photos\riverwall-assets_20260508151753668_image_0007.jpg" TargetMode="External"/><Relationship Id="rId105" Type="http://schemas.openxmlformats.org/officeDocument/2006/relationships/hyperlink" Target="Photos\riverwall-assets_20260508150134099_image_0007.jpg" TargetMode="External"/><Relationship Id="rId8" Type="http://schemas.openxmlformats.org/officeDocument/2006/relationships/hyperlink" Target="Photos\riverwall-assets_20260508162810975_image_0007.jpg" TargetMode="External"/><Relationship Id="rId51" Type="http://schemas.openxmlformats.org/officeDocument/2006/relationships/hyperlink" Target="Photos\riverwall-assets_20260508163942051_image_0007.jpg" TargetMode="External"/><Relationship Id="rId72" Type="http://schemas.openxmlformats.org/officeDocument/2006/relationships/hyperlink" Target="Photos\riverwall-assets_20260508154843155_image_0007.jpg" TargetMode="External"/><Relationship Id="rId93" Type="http://schemas.openxmlformats.org/officeDocument/2006/relationships/hyperlink" Target="Photos\riverwall-assets_20260507131859460_image_0006.jpg" TargetMode="External"/><Relationship Id="rId98" Type="http://schemas.openxmlformats.org/officeDocument/2006/relationships/hyperlink" Target="Photos\riverwall-assets_20260508151500631_image_0007.jpg" TargetMode="External"/><Relationship Id="rId3" Type="http://schemas.openxmlformats.org/officeDocument/2006/relationships/hyperlink" Target="Photos\riverwall-assets_20260508155334736_image_0007.jpg" TargetMode="External"/><Relationship Id="rId25" Type="http://schemas.openxmlformats.org/officeDocument/2006/relationships/hyperlink" Target="Photos\riverwall-assets_20260510152858776_image_0007.jpg" TargetMode="External"/><Relationship Id="rId46" Type="http://schemas.openxmlformats.org/officeDocument/2006/relationships/hyperlink" Target="Photos\riverwall-assets_20260510154008514_image_0007.jpg" TargetMode="External"/><Relationship Id="rId67" Type="http://schemas.openxmlformats.org/officeDocument/2006/relationships/hyperlink" Target="Photos\riverwall-assets_20260508142306500_image_000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D65AA-613E-4DFD-993B-6002B1C70887}">
  <sheetPr>
    <tabColor theme="5" tint="0.59999389629810485"/>
  </sheetPr>
  <dimension ref="A1:Y48"/>
  <sheetViews>
    <sheetView tabSelected="1"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2" max="3" width="26" bestFit="1" customWidth="1"/>
    <col min="4" max="4" width="40.28515625" bestFit="1" customWidth="1"/>
    <col min="5" max="5" width="121.42578125" bestFit="1" customWidth="1"/>
    <col min="6" max="6" width="51.42578125" bestFit="1" customWidth="1"/>
    <col min="7" max="7" width="65.140625" bestFit="1" customWidth="1"/>
    <col min="8" max="8" width="14.28515625" bestFit="1" customWidth="1"/>
    <col min="9" max="9" width="20.42578125" bestFit="1" customWidth="1"/>
    <col min="10" max="10" width="14.28515625" customWidth="1"/>
    <col min="11" max="11" width="23.5703125" bestFit="1" customWidth="1"/>
    <col min="12" max="12" width="18.5703125" style="9" bestFit="1" customWidth="1"/>
    <col min="13" max="13" width="23.5703125" customWidth="1"/>
    <col min="14" max="14" width="16.140625" bestFit="1" customWidth="1"/>
    <col min="15" max="15" width="20" bestFit="1" customWidth="1"/>
    <col min="16" max="16" width="10.42578125" bestFit="1" customWidth="1"/>
    <col min="17" max="17" width="21" bestFit="1" customWidth="1"/>
    <col min="18" max="18" width="14.7109375" bestFit="1" customWidth="1"/>
    <col min="19" max="19" width="24.85546875" bestFit="1" customWidth="1"/>
    <col min="20" max="21" width="24.85546875" customWidth="1"/>
    <col min="22" max="22" width="18" bestFit="1" customWidth="1"/>
    <col min="23" max="25" width="53.140625" bestFit="1" customWidth="1"/>
  </cols>
  <sheetData>
    <row r="1" spans="1:25" ht="44.25" customHeight="1" thickTop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>
        <f>'[1]Riverwall Calculations'!A2</f>
        <v>1</v>
      </c>
      <c r="B2" t="str">
        <f>'[1]Riverwall Calculations'!B2</f>
        <v>HeirissonCOPRVW01A</v>
      </c>
      <c r="C2" t="str">
        <f>'[1]Riverwall Calculations'!C2</f>
        <v>HeirissonCOPRVW01A</v>
      </c>
      <c r="D2" t="str">
        <f>IF('[1]Riverwall Calculations'!D2=0,"", '[1]Riverwall Calculations'!D2)</f>
        <v/>
      </c>
      <c r="E2" t="str">
        <f>'[1]Riverwall Calculations'!E2</f>
        <v>Riverwall 01 - Heirisson Island</v>
      </c>
      <c r="F2" t="str">
        <f>'[1]Riverwall Calculations'!F2</f>
        <v>Heirisson Island</v>
      </c>
      <c r="G2" t="str">
        <f>'[1]Riverwall Calculations'!G2</f>
        <v>Natural limestone wall</v>
      </c>
      <c r="H2" t="s">
        <v>25</v>
      </c>
      <c r="I2">
        <f>'[1]Riverwall Calculations'!I2</f>
        <v>73</v>
      </c>
      <c r="J2">
        <f>'[1]Riverwall Calculations'!J2</f>
        <v>1946</v>
      </c>
      <c r="K2" s="2">
        <f>'[1]Riverwall Calculations'!L2</f>
        <v>152309.92582162458</v>
      </c>
      <c r="L2" s="3">
        <f>IF('[1]Riverwall Calculations'!M2=0,"", '[1]Riverwall Calculations'!M2)</f>
        <v>5</v>
      </c>
      <c r="M2" s="4">
        <f>'[1]Riverwall Calculations'!N2</f>
        <v>0</v>
      </c>
      <c r="N2">
        <f>'[1]Riverwall Calculations'!O2</f>
        <v>80</v>
      </c>
      <c r="O2">
        <f>'[1]Riverwall Calculations'!P2</f>
        <v>0</v>
      </c>
      <c r="P2" s="5">
        <f>'[1]Riverwall Calculations'!Q2</f>
        <v>0</v>
      </c>
      <c r="Q2" s="6">
        <f>'[1]Riverwall Calculations'!R2</f>
        <v>1.2500000000000001E-2</v>
      </c>
      <c r="R2" s="2">
        <f>'[1]Riverwall Calculations'!S2</f>
        <v>1903.8740727703073</v>
      </c>
      <c r="S2" s="2">
        <f>'[1]Riverwall Calculations'!T2</f>
        <v>152309.92582162458</v>
      </c>
      <c r="T2" s="2">
        <v>3</v>
      </c>
      <c r="U2" s="2" t="s">
        <v>26</v>
      </c>
      <c r="V2" s="7">
        <f>'[1]Riverwall Calculations'!U2</f>
        <v>46150</v>
      </c>
      <c r="W2" s="8" t="s">
        <v>27</v>
      </c>
      <c r="X2" s="8" t="s">
        <v>28</v>
      </c>
      <c r="Y2" s="8" t="s">
        <v>29</v>
      </c>
    </row>
    <row r="3" spans="1:25" x14ac:dyDescent="0.25">
      <c r="A3">
        <f>'[1]Riverwall Calculations'!A3</f>
        <v>2</v>
      </c>
      <c r="B3" t="str">
        <f>'[1]Riverwall Calculations'!B3</f>
        <v>HeirissonCOPRVW02A</v>
      </c>
      <c r="C3" t="str">
        <f>'[1]Riverwall Calculations'!C3</f>
        <v>HeirissonCOPRVW02A</v>
      </c>
      <c r="D3" t="str">
        <f>IF('[1]Riverwall Calculations'!D3=0,"", '[1]Riverwall Calculations'!D3)</f>
        <v/>
      </c>
      <c r="E3" t="str">
        <f>'[1]Riverwall Calculations'!E3</f>
        <v>Riverwall 02 - Heirisson Island</v>
      </c>
      <c r="F3" t="str">
        <f>'[1]Riverwall Calculations'!F3</f>
        <v>Heirisson Island</v>
      </c>
      <c r="G3" t="str">
        <f>'[1]Riverwall Calculations'!G3</f>
        <v>Limestone armour</v>
      </c>
      <c r="H3" t="s">
        <v>25</v>
      </c>
      <c r="I3">
        <f>'[1]Riverwall Calculations'!I3</f>
        <v>116</v>
      </c>
      <c r="J3">
        <f>'[1]Riverwall Calculations'!J3</f>
        <v>1958</v>
      </c>
      <c r="K3" s="2">
        <f>'[1]Riverwall Calculations'!L3</f>
        <v>76698.612076874415</v>
      </c>
      <c r="L3" s="3">
        <f>IF('[1]Riverwall Calculations'!M3=0,"", '[1]Riverwall Calculations'!M3)</f>
        <v>4</v>
      </c>
      <c r="M3" s="4">
        <f>'[1]Riverwall Calculations'!N3</f>
        <v>11504.791811531162</v>
      </c>
      <c r="N3">
        <f>'[1]Riverwall Calculations'!O3</f>
        <v>80</v>
      </c>
      <c r="O3">
        <f>'[1]Riverwall Calculations'!P3</f>
        <v>12</v>
      </c>
      <c r="P3" s="5">
        <f>'[1]Riverwall Calculations'!Q3</f>
        <v>0</v>
      </c>
      <c r="Q3" s="6">
        <f>'[1]Riverwall Calculations'!R3</f>
        <v>1.2500000000000001E-2</v>
      </c>
      <c r="R3" s="2">
        <f>'[1]Riverwall Calculations'!S3</f>
        <v>958.73265096093019</v>
      </c>
      <c r="S3" s="2">
        <f>'[1]Riverwall Calculations'!T3</f>
        <v>65193.820265343253</v>
      </c>
      <c r="T3" s="2">
        <v>3</v>
      </c>
      <c r="U3" s="2" t="s">
        <v>26</v>
      </c>
      <c r="V3" s="7">
        <f>'[1]Riverwall Calculations'!U3</f>
        <v>46150</v>
      </c>
      <c r="W3" s="8" t="s">
        <v>30</v>
      </c>
      <c r="X3" s="8" t="s">
        <v>31</v>
      </c>
      <c r="Y3" s="8" t="s">
        <v>32</v>
      </c>
    </row>
    <row r="4" spans="1:25" x14ac:dyDescent="0.25">
      <c r="A4">
        <f>'[1]Riverwall Calculations'!A4</f>
        <v>3</v>
      </c>
      <c r="B4" t="str">
        <f>'[1]Riverwall Calculations'!B4</f>
        <v>HeirissonCOPRVW04A</v>
      </c>
      <c r="C4" t="str">
        <f>'[1]Riverwall Calculations'!C4</f>
        <v>HeirissonCOPRVW04A</v>
      </c>
      <c r="D4" t="str">
        <f>IF('[1]Riverwall Calculations'!D4=0,"", '[1]Riverwall Calculations'!D4)</f>
        <v/>
      </c>
      <c r="E4" t="str">
        <f>'[1]Riverwall Calculations'!E4</f>
        <v>Riverwall 04 - Heirisson Island</v>
      </c>
      <c r="F4" t="str">
        <f>'[1]Riverwall Calculations'!F4</f>
        <v>Heirisson Island</v>
      </c>
      <c r="G4" t="str">
        <f>'[1]Riverwall Calculations'!G4</f>
        <v>Natural limestone block wall</v>
      </c>
      <c r="H4" t="s">
        <v>25</v>
      </c>
      <c r="I4">
        <f>'[1]Riverwall Calculations'!I4</f>
        <v>55</v>
      </c>
      <c r="J4">
        <f>'[1]Riverwall Calculations'!J4</f>
        <v>1994</v>
      </c>
      <c r="K4" s="2">
        <f>'[1]Riverwall Calculations'!L4</f>
        <v>114754.05370122399</v>
      </c>
      <c r="L4" s="3">
        <f>IF('[1]Riverwall Calculations'!M4=0,"", '[1]Riverwall Calculations'!M4)</f>
        <v>2</v>
      </c>
      <c r="M4" s="4">
        <f>'[1]Riverwall Calculations'!N4</f>
        <v>68852.432220734394</v>
      </c>
      <c r="N4">
        <f>'[1]Riverwall Calculations'!O4</f>
        <v>80</v>
      </c>
      <c r="O4">
        <f>'[1]Riverwall Calculations'!P4</f>
        <v>48</v>
      </c>
      <c r="P4" s="5">
        <f>'[1]Riverwall Calculations'!Q4</f>
        <v>0</v>
      </c>
      <c r="Q4" s="6">
        <f>'[1]Riverwall Calculations'!R4</f>
        <v>1.2500000000000001E-2</v>
      </c>
      <c r="R4" s="2">
        <f>'[1]Riverwall Calculations'!S4</f>
        <v>1434.4256712653</v>
      </c>
      <c r="S4" s="2">
        <f>'[1]Riverwall Calculations'!T4</f>
        <v>45901.621480489601</v>
      </c>
      <c r="T4" s="2">
        <v>3</v>
      </c>
      <c r="U4" s="2" t="s">
        <v>26</v>
      </c>
      <c r="V4" s="7">
        <f>'[1]Riverwall Calculations'!U4</f>
        <v>46150</v>
      </c>
      <c r="W4" s="8" t="s">
        <v>33</v>
      </c>
    </row>
    <row r="5" spans="1:25" x14ac:dyDescent="0.25">
      <c r="A5">
        <f>'[1]Riverwall Calculations'!A5</f>
        <v>4</v>
      </c>
      <c r="B5" t="str">
        <f>'[1]Riverwall Calculations'!B5</f>
        <v>HeirissonCOPRVW05A</v>
      </c>
      <c r="C5" t="str">
        <f>'[1]Riverwall Calculations'!C5</f>
        <v>HeirissonCOPRVW05A</v>
      </c>
      <c r="D5" t="str">
        <f>IF('[1]Riverwall Calculations'!D5=0,"", '[1]Riverwall Calculations'!D5)</f>
        <v/>
      </c>
      <c r="E5" t="str">
        <f>'[1]Riverwall Calculations'!E5</f>
        <v>Riverwall 05 - Heirisson Island</v>
      </c>
      <c r="F5" t="str">
        <f>'[1]Riverwall Calculations'!F5</f>
        <v>Heirisson Island</v>
      </c>
      <c r="G5" t="str">
        <f>'[1]Riverwall Calculations'!G5</f>
        <v>Loose limestone rip rap revetment</v>
      </c>
      <c r="H5" t="s">
        <v>25</v>
      </c>
      <c r="I5">
        <f>'[1]Riverwall Calculations'!I5</f>
        <v>797</v>
      </c>
      <c r="J5">
        <f>'[1]Riverwall Calculations'!J5</f>
        <v>1946</v>
      </c>
      <c r="K5" s="2">
        <f>'[1]Riverwall Calculations'!L5</f>
        <v>526972.36056266294</v>
      </c>
      <c r="L5" s="3">
        <f>IF('[1]Riverwall Calculations'!M5=0,"", '[1]Riverwall Calculations'!M5)</f>
        <v>5</v>
      </c>
      <c r="M5" s="4">
        <f>'[1]Riverwall Calculations'!N5</f>
        <v>0</v>
      </c>
      <c r="N5">
        <f>'[1]Riverwall Calculations'!O5</f>
        <v>80</v>
      </c>
      <c r="O5">
        <f>'[1]Riverwall Calculations'!P5</f>
        <v>0</v>
      </c>
      <c r="P5" s="5">
        <f>'[1]Riverwall Calculations'!Q5</f>
        <v>0</v>
      </c>
      <c r="Q5" s="6">
        <f>'[1]Riverwall Calculations'!R5</f>
        <v>1.2500000000000001E-2</v>
      </c>
      <c r="R5" s="2">
        <f>'[1]Riverwall Calculations'!S5</f>
        <v>6587.1545070332868</v>
      </c>
      <c r="S5" s="2">
        <f>'[1]Riverwall Calculations'!T5</f>
        <v>526972.36056266294</v>
      </c>
      <c r="T5" s="2">
        <v>3</v>
      </c>
      <c r="U5" s="2" t="s">
        <v>26</v>
      </c>
      <c r="V5" s="7">
        <f>'[1]Riverwall Calculations'!U5</f>
        <v>46150</v>
      </c>
      <c r="W5" s="8" t="s">
        <v>34</v>
      </c>
      <c r="X5" s="8" t="s">
        <v>35</v>
      </c>
      <c r="Y5" s="8" t="s">
        <v>36</v>
      </c>
    </row>
    <row r="6" spans="1:25" x14ac:dyDescent="0.25">
      <c r="A6">
        <f>'[1]Riverwall Calculations'!A6</f>
        <v>5</v>
      </c>
      <c r="B6" t="str">
        <f>'[1]Riverwall Calculations'!B6</f>
        <v>HeirissonCOPRVW06A</v>
      </c>
      <c r="C6" t="str">
        <f>'[1]Riverwall Calculations'!C6</f>
        <v>HeirissonCOPRVW06A</v>
      </c>
      <c r="D6" t="str">
        <f>IF('[1]Riverwall Calculations'!D6=0,"", '[1]Riverwall Calculations'!D6)</f>
        <v/>
      </c>
      <c r="E6" t="str">
        <f>'[1]Riverwall Calculations'!E6</f>
        <v>Riverwall 06 - Heirisson Island - Wood wall</v>
      </c>
      <c r="F6" t="str">
        <f>'[1]Riverwall Calculations'!F6</f>
        <v>Heirisson Island</v>
      </c>
      <c r="G6" t="str">
        <f>'[1]Riverwall Calculations'!G6</f>
        <v>Wood wall</v>
      </c>
      <c r="H6" t="s">
        <v>25</v>
      </c>
      <c r="I6">
        <f>'[1]Riverwall Calculations'!I6</f>
        <v>135</v>
      </c>
      <c r="J6">
        <f>'[1]Riverwall Calculations'!J6</f>
        <v>2005</v>
      </c>
      <c r="K6" s="2">
        <f>'[1]Riverwall Calculations'!L6</f>
        <v>137968.18353201755</v>
      </c>
      <c r="L6" s="3">
        <f>IF('[1]Riverwall Calculations'!M6=0,"", '[1]Riverwall Calculations'!M6)</f>
        <v>4</v>
      </c>
      <c r="M6" s="4">
        <f>'[1]Riverwall Calculations'!N6</f>
        <v>20695.227529802632</v>
      </c>
      <c r="N6">
        <f>'[1]Riverwall Calculations'!O6</f>
        <v>25</v>
      </c>
      <c r="O6">
        <f>'[1]Riverwall Calculations'!P6</f>
        <v>3.75</v>
      </c>
      <c r="P6" s="5">
        <f>'[1]Riverwall Calculations'!Q6</f>
        <v>0</v>
      </c>
      <c r="Q6" s="6">
        <f>'[1]Riverwall Calculations'!R6</f>
        <v>0.04</v>
      </c>
      <c r="R6" s="2">
        <f>'[1]Riverwall Calculations'!S6</f>
        <v>5518.7273412807017</v>
      </c>
      <c r="S6" s="2">
        <f>'[1]Riverwall Calculations'!T6</f>
        <v>117272.95600221491</v>
      </c>
      <c r="T6" s="2">
        <v>3</v>
      </c>
      <c r="U6" s="2" t="s">
        <v>26</v>
      </c>
      <c r="V6" s="7">
        <f>'[1]Riverwall Calculations'!U6</f>
        <v>46150</v>
      </c>
      <c r="W6" s="8" t="s">
        <v>37</v>
      </c>
      <c r="X6" s="8" t="s">
        <v>38</v>
      </c>
      <c r="Y6" s="8" t="s">
        <v>39</v>
      </c>
    </row>
    <row r="7" spans="1:25" x14ac:dyDescent="0.25">
      <c r="A7">
        <f>'[1]Riverwall Calculations'!A7</f>
        <v>6</v>
      </c>
      <c r="B7" t="str">
        <f>'[1]Riverwall Calculations'!B7</f>
        <v>MardalupPkRVW06A</v>
      </c>
      <c r="C7" t="str">
        <f>'[1]Riverwall Calculations'!C7</f>
        <v>MardalupPkRVW06A</v>
      </c>
      <c r="D7" t="str">
        <f>IF('[1]Riverwall Calculations'!D7=0,"", '[1]Riverwall Calculations'!D7)</f>
        <v/>
      </c>
      <c r="E7" t="str">
        <f>'[1]Riverwall Calculations'!E7</f>
        <v>Riverwall 06 - Mardalup Park - Limestone Block Wall</v>
      </c>
      <c r="F7" t="str">
        <f>'[1]Riverwall Calculations'!F7</f>
        <v>Mardalup Park - Block access protection</v>
      </c>
      <c r="G7" t="str">
        <f>'[1]Riverwall Calculations'!G7</f>
        <v>Limestone block wall and limestone rock headland</v>
      </c>
      <c r="H7" t="s">
        <v>25</v>
      </c>
      <c r="I7">
        <f>'[1]Riverwall Calculations'!I7</f>
        <v>30</v>
      </c>
      <c r="J7">
        <f>'[1]Riverwall Calculations'!J7</f>
        <v>1994</v>
      </c>
      <c r="K7" s="2">
        <f>'[1]Riverwall Calculations'!L7</f>
        <v>49765.93852574208</v>
      </c>
      <c r="L7" s="3">
        <f>IF('[1]Riverwall Calculations'!M7=0,"", '[1]Riverwall Calculations'!M7)</f>
        <v>2</v>
      </c>
      <c r="M7" s="4">
        <f>'[1]Riverwall Calculations'!N7</f>
        <v>29859.563115445246</v>
      </c>
      <c r="N7">
        <f>'[1]Riverwall Calculations'!O7</f>
        <v>80</v>
      </c>
      <c r="O7">
        <f>'[1]Riverwall Calculations'!P7</f>
        <v>48</v>
      </c>
      <c r="P7" s="5">
        <f>'[1]Riverwall Calculations'!Q7</f>
        <v>0</v>
      </c>
      <c r="Q7" s="6">
        <f>'[1]Riverwall Calculations'!R7</f>
        <v>1.2500000000000001E-2</v>
      </c>
      <c r="R7" s="2">
        <f>'[1]Riverwall Calculations'!S7</f>
        <v>622.07423157177595</v>
      </c>
      <c r="S7" s="2">
        <f>'[1]Riverwall Calculations'!T7</f>
        <v>19906.375410296834</v>
      </c>
      <c r="T7" s="2">
        <v>3</v>
      </c>
      <c r="U7" s="2" t="s">
        <v>26</v>
      </c>
      <c r="V7" s="7">
        <f>'[1]Riverwall Calculations'!U7</f>
        <v>46150</v>
      </c>
      <c r="W7" s="8" t="s">
        <v>40</v>
      </c>
      <c r="X7" s="8" t="s">
        <v>41</v>
      </c>
    </row>
    <row r="8" spans="1:25" x14ac:dyDescent="0.25">
      <c r="A8">
        <f>'[1]Riverwall Calculations'!A8</f>
        <v>7</v>
      </c>
      <c r="B8" t="str">
        <f>'[1]Riverwall Calculations'!B8</f>
        <v>MardalupPkRVW07A</v>
      </c>
      <c r="C8" t="str">
        <f>'[1]Riverwall Calculations'!C8</f>
        <v>MardalupPkRVW07A</v>
      </c>
      <c r="D8" t="str">
        <f>IF('[1]Riverwall Calculations'!D8=0,"", '[1]Riverwall Calculations'!D8)</f>
        <v/>
      </c>
      <c r="E8" t="str">
        <f>'[1]Riverwall Calculations'!E8</f>
        <v>Riverwall 07 - Mardalup Park - Limestone Block Wall</v>
      </c>
      <c r="F8" t="str">
        <f>'[1]Riverwall Calculations'!F8</f>
        <v>Mardalup Park - Rock revetment groyne</v>
      </c>
      <c r="G8" t="str">
        <f>'[1]Riverwall Calculations'!G8</f>
        <v>Limestone block wall and limestone rock headland</v>
      </c>
      <c r="H8" t="s">
        <v>25</v>
      </c>
      <c r="I8">
        <f>'[1]Riverwall Calculations'!I8</f>
        <v>14</v>
      </c>
      <c r="J8">
        <f>'[1]Riverwall Calculations'!J8</f>
        <v>1958</v>
      </c>
      <c r="K8" s="2">
        <f>'[1]Riverwall Calculations'!L8</f>
        <v>23224.104645346306</v>
      </c>
      <c r="L8" s="3">
        <f>IF('[1]Riverwall Calculations'!M8=0,"", '[1]Riverwall Calculations'!M8)</f>
        <v>4</v>
      </c>
      <c r="M8" s="4">
        <f>'[1]Riverwall Calculations'!N8</f>
        <v>3483.6156968019459</v>
      </c>
      <c r="N8">
        <f>'[1]Riverwall Calculations'!O8</f>
        <v>80</v>
      </c>
      <c r="O8">
        <f>'[1]Riverwall Calculations'!P8</f>
        <v>12</v>
      </c>
      <c r="P8" s="5">
        <f>'[1]Riverwall Calculations'!Q8</f>
        <v>0</v>
      </c>
      <c r="Q8" s="6">
        <f>'[1]Riverwall Calculations'!R8</f>
        <v>1.2500000000000001E-2</v>
      </c>
      <c r="R8" s="2">
        <f>'[1]Riverwall Calculations'!S8</f>
        <v>290.30130806682882</v>
      </c>
      <c r="S8" s="2">
        <f>'[1]Riverwall Calculations'!T8</f>
        <v>19740.48894854436</v>
      </c>
      <c r="T8" s="2">
        <v>3</v>
      </c>
      <c r="U8" s="2" t="s">
        <v>26</v>
      </c>
      <c r="V8" s="7">
        <f>'[1]Riverwall Calculations'!U8</f>
        <v>46150</v>
      </c>
      <c r="W8" s="8" t="s">
        <v>42</v>
      </c>
      <c r="X8" s="8" t="s">
        <v>43</v>
      </c>
      <c r="Y8" s="8" t="s">
        <v>44</v>
      </c>
    </row>
    <row r="9" spans="1:25" x14ac:dyDescent="0.25">
      <c r="A9">
        <f>'[1]Riverwall Calculations'!A9</f>
        <v>8</v>
      </c>
      <c r="B9" t="str">
        <f>'[1]Riverwall Calculations'!B9</f>
        <v>MardalupPkRVW08A</v>
      </c>
      <c r="C9" t="str">
        <f>'[1]Riverwall Calculations'!C9</f>
        <v>MardalupPkRVW08A</v>
      </c>
      <c r="D9" t="str">
        <f>IF('[1]Riverwall Calculations'!D9=0,"", '[1]Riverwall Calculations'!D9)</f>
        <v/>
      </c>
      <c r="E9" t="str">
        <f>'[1]Riverwall Calculations'!E9</f>
        <v>Riverwall 08 - Mardalup Park - Natural Limestone Wall</v>
      </c>
      <c r="F9" t="str">
        <f>'[1]Riverwall Calculations'!F9</f>
        <v>Mardalup Park - Rock revetment groyne</v>
      </c>
      <c r="G9" t="str">
        <f>'[1]Riverwall Calculations'!G9</f>
        <v>Natural limestone block</v>
      </c>
      <c r="H9" t="s">
        <v>25</v>
      </c>
      <c r="I9">
        <f>'[1]Riverwall Calculations'!I9</f>
        <v>25</v>
      </c>
      <c r="J9">
        <f>'[1]Riverwall Calculations'!J9</f>
        <v>1970</v>
      </c>
      <c r="K9" s="2">
        <f>'[1]Riverwall Calculations'!L9</f>
        <v>52160.933500556363</v>
      </c>
      <c r="L9" s="3">
        <f>IF('[1]Riverwall Calculations'!M9=0,"", '[1]Riverwall Calculations'!M9)</f>
        <v>3</v>
      </c>
      <c r="M9" s="4">
        <f>'[1]Riverwall Calculations'!N9</f>
        <v>15648.280050166908</v>
      </c>
      <c r="N9">
        <f>'[1]Riverwall Calculations'!O9</f>
        <v>80</v>
      </c>
      <c r="O9">
        <f>'[1]Riverwall Calculations'!P9</f>
        <v>24</v>
      </c>
      <c r="P9" s="5">
        <f>'[1]Riverwall Calculations'!Q9</f>
        <v>0</v>
      </c>
      <c r="Q9" s="6">
        <f>'[1]Riverwall Calculations'!R9</f>
        <v>1.2500000000000001E-2</v>
      </c>
      <c r="R9" s="2">
        <f>'[1]Riverwall Calculations'!S9</f>
        <v>652.01166875695458</v>
      </c>
      <c r="S9" s="2">
        <f>'[1]Riverwall Calculations'!T9</f>
        <v>36512.653450389451</v>
      </c>
      <c r="T9" s="2">
        <v>3</v>
      </c>
      <c r="U9" s="2" t="s">
        <v>26</v>
      </c>
      <c r="V9" s="7">
        <f>'[1]Riverwall Calculations'!U9</f>
        <v>46150</v>
      </c>
      <c r="W9" s="8" t="s">
        <v>45</v>
      </c>
      <c r="X9" s="8" t="s">
        <v>46</v>
      </c>
    </row>
    <row r="10" spans="1:25" x14ac:dyDescent="0.25">
      <c r="A10">
        <f>'[1]Riverwall Calculations'!A10</f>
        <v>9</v>
      </c>
      <c r="B10" t="str">
        <f>'[1]Riverwall Calculations'!B10</f>
        <v>MountsBayFrShrRVW04A</v>
      </c>
      <c r="C10" t="str">
        <f>'[1]Riverwall Calculations'!C10</f>
        <v>MountsBayFrShrRVW04A</v>
      </c>
      <c r="D10" t="str">
        <f>IF('[1]Riverwall Calculations'!D10=0,"", '[1]Riverwall Calculations'!D10)</f>
        <v/>
      </c>
      <c r="E10" t="str">
        <f>'[1]Riverwall Calculations'!E10</f>
        <v>Riverwall 04 - Mounts Bay Road Foreshore [DBCA Ref: SRPer11 Kings Park Ave Jetty.B02]</v>
      </c>
      <c r="F10" t="str">
        <f>'[1]Riverwall Calculations'!F10</f>
        <v>Mounts Bay Road Foreshore</v>
      </c>
      <c r="G10" t="str">
        <f>'[1]Riverwall Calculations'!G10</f>
        <v>Limestone gabion with concrete capping, limestone scour protection.</v>
      </c>
      <c r="H10" t="s">
        <v>25</v>
      </c>
      <c r="I10">
        <f>'[1]Riverwall Calculations'!I10</f>
        <v>91</v>
      </c>
      <c r="J10">
        <f>'[1]Riverwall Calculations'!J10</f>
        <v>1998</v>
      </c>
      <c r="K10" s="2">
        <f>'[1]Riverwall Calculations'!L10</f>
        <v>44086.224195413954</v>
      </c>
      <c r="L10" s="3">
        <f>IF('[1]Riverwall Calculations'!M10=0,"", '[1]Riverwall Calculations'!M10)</f>
        <v>3</v>
      </c>
      <c r="M10" s="4">
        <f>'[1]Riverwall Calculations'!N10</f>
        <v>13225.867258624186</v>
      </c>
      <c r="N10">
        <f>'[1]Riverwall Calculations'!O10</f>
        <v>40</v>
      </c>
      <c r="O10">
        <f>'[1]Riverwall Calculations'!P10</f>
        <v>12</v>
      </c>
      <c r="P10" s="5">
        <f>'[1]Riverwall Calculations'!Q10</f>
        <v>0</v>
      </c>
      <c r="Q10" s="6">
        <f>'[1]Riverwall Calculations'!R10</f>
        <v>2.5000000000000001E-2</v>
      </c>
      <c r="R10" s="2">
        <f>'[1]Riverwall Calculations'!S10</f>
        <v>1102.1556048853488</v>
      </c>
      <c r="S10" s="2">
        <f>'[1]Riverwall Calculations'!T10</f>
        <v>30860.356936789765</v>
      </c>
      <c r="T10" s="2">
        <v>3</v>
      </c>
      <c r="U10" s="2" t="s">
        <v>26</v>
      </c>
      <c r="V10" s="7">
        <f>'[1]Riverwall Calculations'!U10</f>
        <v>46149</v>
      </c>
      <c r="W10" s="8" t="s">
        <v>47</v>
      </c>
      <c r="X10" s="8" t="s">
        <v>48</v>
      </c>
      <c r="Y10" s="8" t="s">
        <v>49</v>
      </c>
    </row>
    <row r="11" spans="1:25" x14ac:dyDescent="0.25">
      <c r="A11">
        <f>'[1]Riverwall Calculations'!A11</f>
        <v>10</v>
      </c>
      <c r="B11" t="str">
        <f>'[1]Riverwall Calculations'!B11</f>
        <v>MountsBayFrShrRVW10A</v>
      </c>
      <c r="C11" t="str">
        <f>'[1]Riverwall Calculations'!C11</f>
        <v>MountsBayFrShrRVW10A</v>
      </c>
      <c r="D11" t="str">
        <f>IF('[1]Riverwall Calculations'!D11=0,"", '[1]Riverwall Calculations'!D11)</f>
        <v/>
      </c>
      <c r="E11" t="str">
        <f>'[1]Riverwall Calculations'!E11</f>
        <v>Riverwall 10 - Mounts Bay Road Foreshore -Near Swan Brewery Stage 5 - [DBCA Ref: 	SRPer10 Quarry Pt.B03]</v>
      </c>
      <c r="F11" t="str">
        <f>'[1]Riverwall Calculations'!F11</f>
        <v>Mounts Bay Road Foreshore</v>
      </c>
      <c r="G11" t="str">
        <f>'[1]Riverwall Calculations'!G11</f>
        <v>Natural limestone block wall, rock scour protection</v>
      </c>
      <c r="H11" t="s">
        <v>25</v>
      </c>
      <c r="I11">
        <f>'[1]Riverwall Calculations'!I11</f>
        <v>142</v>
      </c>
      <c r="J11">
        <f>'[1]Riverwall Calculations'!J11</f>
        <v>1970</v>
      </c>
      <c r="K11" s="2">
        <f>'[1]Riverwall Calculations'!L11</f>
        <v>235558.77568851251</v>
      </c>
      <c r="L11" s="3">
        <f>IF('[1]Riverwall Calculations'!M11=0,"", '[1]Riverwall Calculations'!M11)</f>
        <v>3</v>
      </c>
      <c r="M11" s="4">
        <f>'[1]Riverwall Calculations'!N11</f>
        <v>70667.632706553748</v>
      </c>
      <c r="N11">
        <f>'[1]Riverwall Calculations'!O11</f>
        <v>80</v>
      </c>
      <c r="O11">
        <f>'[1]Riverwall Calculations'!P11</f>
        <v>24</v>
      </c>
      <c r="P11" s="5">
        <f>'[1]Riverwall Calculations'!Q11</f>
        <v>0</v>
      </c>
      <c r="Q11" s="6">
        <f>'[1]Riverwall Calculations'!R11</f>
        <v>1.2500000000000001E-2</v>
      </c>
      <c r="R11" s="2">
        <f>'[1]Riverwall Calculations'!S11</f>
        <v>2944.4846961064063</v>
      </c>
      <c r="S11" s="2">
        <f>'[1]Riverwall Calculations'!T11</f>
        <v>164891.14298195875</v>
      </c>
      <c r="T11" s="2">
        <v>3</v>
      </c>
      <c r="U11" s="2" t="s">
        <v>26</v>
      </c>
      <c r="V11" s="7">
        <f>'[1]Riverwall Calculations'!U11</f>
        <v>46149</v>
      </c>
      <c r="W11" s="8" t="s">
        <v>50</v>
      </c>
      <c r="X11" s="8" t="s">
        <v>51</v>
      </c>
      <c r="Y11" s="8" t="s">
        <v>52</v>
      </c>
    </row>
    <row r="12" spans="1:25" x14ac:dyDescent="0.25">
      <c r="A12">
        <f>'[1]Riverwall Calculations'!A12</f>
        <v>11</v>
      </c>
      <c r="B12" t="str">
        <f>'[1]Riverwall Calculations'!B12</f>
        <v>MountsBayFrShrRVW11A</v>
      </c>
      <c r="C12" t="str">
        <f>'[1]Riverwall Calculations'!C12</f>
        <v>MountsBayFrShrRVW11A</v>
      </c>
      <c r="D12" t="str">
        <f>IF('[1]Riverwall Calculations'!D12=0,"", '[1]Riverwall Calculations'!D12)</f>
        <v/>
      </c>
      <c r="E12" t="str">
        <f>'[1]Riverwall Calculations'!E12</f>
        <v>Riverwall 11 - Mounts Bay Road Foreshore [DBCA Ref: SRPer10 Quarry Pt.B02]</v>
      </c>
      <c r="F12" t="str">
        <f>'[1]Riverwall Calculations'!F12</f>
        <v>Mounts Bay Road Foreshore</v>
      </c>
      <c r="G12" t="str">
        <f>'[1]Riverwall Calculations'!G12</f>
        <v>Reconstituted limestone block</v>
      </c>
      <c r="H12" t="s">
        <v>25</v>
      </c>
      <c r="I12">
        <f>'[1]Riverwall Calculations'!I12</f>
        <v>55</v>
      </c>
      <c r="J12">
        <f>'[1]Riverwall Calculations'!J12</f>
        <v>2026</v>
      </c>
      <c r="K12" s="2">
        <f>'[1]Riverwall Calculations'!L12</f>
        <v>114754.05370122399</v>
      </c>
      <c r="L12" s="3">
        <f>IF('[1]Riverwall Calculations'!M12=0,"", '[1]Riverwall Calculations'!M12)</f>
        <v>1</v>
      </c>
      <c r="M12" s="4">
        <f>'[1]Riverwall Calculations'!N12</f>
        <v>114754.05370122399</v>
      </c>
      <c r="N12">
        <f>'[1]Riverwall Calculations'!O12</f>
        <v>80</v>
      </c>
      <c r="O12">
        <f>'[1]Riverwall Calculations'!P12</f>
        <v>80</v>
      </c>
      <c r="P12" s="5">
        <f>'[1]Riverwall Calculations'!Q12</f>
        <v>0</v>
      </c>
      <c r="Q12" s="6">
        <f>'[1]Riverwall Calculations'!R12</f>
        <v>1.2500000000000001E-2</v>
      </c>
      <c r="R12" s="2">
        <f>'[1]Riverwall Calculations'!S12</f>
        <v>1434.4256712653</v>
      </c>
      <c r="S12" s="2">
        <f>'[1]Riverwall Calculations'!T12</f>
        <v>0</v>
      </c>
      <c r="T12" s="2">
        <v>3</v>
      </c>
      <c r="U12" s="2" t="s">
        <v>26</v>
      </c>
      <c r="V12" s="7">
        <f>'[1]Riverwall Calculations'!U12</f>
        <v>46149</v>
      </c>
      <c r="W12" s="8" t="s">
        <v>53</v>
      </c>
      <c r="X12" s="8" t="s">
        <v>54</v>
      </c>
    </row>
    <row r="13" spans="1:25" x14ac:dyDescent="0.25">
      <c r="A13">
        <f>'[1]Riverwall Calculations'!A13</f>
        <v>12</v>
      </c>
      <c r="B13" t="str">
        <f>'[1]Riverwall Calculations'!B13</f>
        <v>MountsBayFrShrRVW12A</v>
      </c>
      <c r="C13" t="str">
        <f>'[1]Riverwall Calculations'!C13</f>
        <v>MountsBayFrShrRVW12A</v>
      </c>
      <c r="D13" t="str">
        <f>IF('[1]Riverwall Calculations'!D13=0,"", '[1]Riverwall Calculations'!D13)</f>
        <v/>
      </c>
      <c r="E13" t="str">
        <f>'[1]Riverwall Calculations'!E13</f>
        <v>Riverwall 12 - Mounts Bay Road Foreshore - Vertical wall - South of Old Swan Brewery - [DBCA Ref: SRPer10 Quarry Pt.B01]</v>
      </c>
      <c r="F13" t="str">
        <f>'[1]Riverwall Calculations'!F13</f>
        <v>Mounts Bay Road Foreshore</v>
      </c>
      <c r="G13" t="str">
        <f>'[1]Riverwall Calculations'!G13</f>
        <v>mortared limestone rocks</v>
      </c>
      <c r="H13" t="s">
        <v>25</v>
      </c>
      <c r="I13">
        <f>'[1]Riverwall Calculations'!I13</f>
        <v>128</v>
      </c>
      <c r="J13">
        <f>'[1]Riverwall Calculations'!J13</f>
        <v>1994</v>
      </c>
      <c r="K13" s="2">
        <f>'[1]Riverwall Calculations'!L13</f>
        <v>88605.683481648477</v>
      </c>
      <c r="L13" s="3">
        <f>IF('[1]Riverwall Calculations'!M13=0,"", '[1]Riverwall Calculations'!M13)</f>
        <v>2</v>
      </c>
      <c r="M13" s="4">
        <f>'[1]Riverwall Calculations'!N13</f>
        <v>53163.410088989083</v>
      </c>
      <c r="N13">
        <f>'[1]Riverwall Calculations'!O13</f>
        <v>80</v>
      </c>
      <c r="O13">
        <f>'[1]Riverwall Calculations'!P13</f>
        <v>48</v>
      </c>
      <c r="P13" s="5">
        <f>'[1]Riverwall Calculations'!Q13</f>
        <v>0</v>
      </c>
      <c r="Q13" s="6">
        <f>'[1]Riverwall Calculations'!R13</f>
        <v>1.2500000000000001E-2</v>
      </c>
      <c r="R13" s="2">
        <f>'[1]Riverwall Calculations'!S13</f>
        <v>1107.5710435206061</v>
      </c>
      <c r="S13" s="2">
        <f>'[1]Riverwall Calculations'!T13</f>
        <v>35442.273392659394</v>
      </c>
      <c r="T13" s="2">
        <v>3</v>
      </c>
      <c r="U13" s="2" t="s">
        <v>26</v>
      </c>
      <c r="V13" s="7">
        <f>'[1]Riverwall Calculations'!U13</f>
        <v>46149</v>
      </c>
      <c r="W13" s="8" t="s">
        <v>55</v>
      </c>
      <c r="X13" s="8" t="s">
        <v>56</v>
      </c>
    </row>
    <row r="14" spans="1:25" x14ac:dyDescent="0.25">
      <c r="A14">
        <f>'[1]Riverwall Calculations'!A14</f>
        <v>13</v>
      </c>
      <c r="B14" t="str">
        <f>'[1]Riverwall Calculations'!B14</f>
        <v>MountsBayFrShrRVW13A</v>
      </c>
      <c r="C14" t="str">
        <f>'[1]Riverwall Calculations'!C14</f>
        <v>MountsBayFrShrRVW13A</v>
      </c>
      <c r="D14" t="str">
        <f>IF('[1]Riverwall Calculations'!D14=0,"", '[1]Riverwall Calculations'!D14)</f>
        <v/>
      </c>
      <c r="E14" t="str">
        <f>'[1]Riverwall Calculations'!E14</f>
        <v>Riverwall 13 - Mounts Bay Road Foreshore - Vertical wall - South of Old Swan Brewery - [DBCA Ref: SRPer09 West Old Swan Brewery.B02]</v>
      </c>
      <c r="F14" t="str">
        <f>'[1]Riverwall Calculations'!F14</f>
        <v>Mounts Bay Road Foreshore</v>
      </c>
      <c r="G14" t="str">
        <f>'[1]Riverwall Calculations'!G14</f>
        <v>Mortared limestone rocks</v>
      </c>
      <c r="H14" t="s">
        <v>25</v>
      </c>
      <c r="I14">
        <f>'[1]Riverwall Calculations'!I14</f>
        <v>59</v>
      </c>
      <c r="J14">
        <f>'[1]Riverwall Calculations'!J14</f>
        <v>1994</v>
      </c>
      <c r="K14" s="2">
        <f>'[1]Riverwall Calculations'!L14</f>
        <v>40841.682229822341</v>
      </c>
      <c r="L14" s="3">
        <f>IF('[1]Riverwall Calculations'!M14=0,"", '[1]Riverwall Calculations'!M14)</f>
        <v>2</v>
      </c>
      <c r="M14" s="4">
        <f>'[1]Riverwall Calculations'!N14</f>
        <v>24505.009337893403</v>
      </c>
      <c r="N14">
        <f>'[1]Riverwall Calculations'!O14</f>
        <v>80</v>
      </c>
      <c r="O14">
        <f>'[1]Riverwall Calculations'!P14</f>
        <v>48</v>
      </c>
      <c r="P14" s="5">
        <f>'[1]Riverwall Calculations'!Q14</f>
        <v>0</v>
      </c>
      <c r="Q14" s="6">
        <f>'[1]Riverwall Calculations'!R14</f>
        <v>1.2500000000000001E-2</v>
      </c>
      <c r="R14" s="2">
        <f>'[1]Riverwall Calculations'!S14</f>
        <v>510.52102787277926</v>
      </c>
      <c r="S14" s="2">
        <f>'[1]Riverwall Calculations'!T14</f>
        <v>16336.672891928938</v>
      </c>
      <c r="T14" s="2">
        <v>3</v>
      </c>
      <c r="U14" s="2" t="s">
        <v>26</v>
      </c>
      <c r="V14" s="7">
        <f>'[1]Riverwall Calculations'!U14</f>
        <v>46149</v>
      </c>
      <c r="W14" s="8" t="s">
        <v>57</v>
      </c>
      <c r="X14" s="8" t="s">
        <v>58</v>
      </c>
    </row>
    <row r="15" spans="1:25" x14ac:dyDescent="0.25">
      <c r="A15">
        <f>'[1]Riverwall Calculations'!A15</f>
        <v>14</v>
      </c>
      <c r="B15" t="str">
        <f>'[1]Riverwall Calculations'!B15</f>
        <v>MountsBayFrShrRVW14A</v>
      </c>
      <c r="C15" t="str">
        <f>'[1]Riverwall Calculations'!C15</f>
        <v>MountsBayFrShrRVW14A</v>
      </c>
      <c r="D15" t="str">
        <f>IF('[1]Riverwall Calculations'!D15=0,"", '[1]Riverwall Calculations'!D15)</f>
        <v/>
      </c>
      <c r="E15" t="str">
        <f>'[1]Riverwall Calculations'!E15</f>
        <v>Riverwall 14 - Mounts Bay Road Foreshore - Near Swan Brewery Stage 5 - [DBCA Ref: SRPer07 East Old Swan Brewery.B02]</v>
      </c>
      <c r="F15" t="str">
        <f>'[1]Riverwall Calculations'!F15</f>
        <v>Mounts Bay Road Foreshore</v>
      </c>
      <c r="G15" t="str">
        <f>'[1]Riverwall Calculations'!G15</f>
        <v>Limestone blocks with shotcrete, new concrete capping &amp; gabion at toe.</v>
      </c>
      <c r="H15" t="s">
        <v>25</v>
      </c>
      <c r="I15">
        <f>'[1]Riverwall Calculations'!I15</f>
        <v>90</v>
      </c>
      <c r="J15">
        <f>'[1]Riverwall Calculations'!J15</f>
        <v>1994</v>
      </c>
      <c r="K15" s="2">
        <f>'[1]Riverwall Calculations'!L15</f>
        <v>201803.52002325901</v>
      </c>
      <c r="L15" s="3">
        <f>IF('[1]Riverwall Calculations'!M15=0,"", '[1]Riverwall Calculations'!M15)</f>
        <v>2</v>
      </c>
      <c r="M15" s="4">
        <f>'[1]Riverwall Calculations'!N15</f>
        <v>121082.1120139554</v>
      </c>
      <c r="N15">
        <f>'[1]Riverwall Calculations'!O15</f>
        <v>80</v>
      </c>
      <c r="O15">
        <f>'[1]Riverwall Calculations'!P15</f>
        <v>48</v>
      </c>
      <c r="P15" s="5">
        <f>'[1]Riverwall Calculations'!Q15</f>
        <v>0</v>
      </c>
      <c r="Q15" s="6">
        <f>'[1]Riverwall Calculations'!R15</f>
        <v>1.2500000000000001E-2</v>
      </c>
      <c r="R15" s="2">
        <f>'[1]Riverwall Calculations'!S15</f>
        <v>2522.5440002907376</v>
      </c>
      <c r="S15" s="2">
        <f>'[1]Riverwall Calculations'!T15</f>
        <v>80721.408009303617</v>
      </c>
      <c r="T15" s="2">
        <v>3</v>
      </c>
      <c r="U15" s="2" t="s">
        <v>26</v>
      </c>
      <c r="V15" s="7">
        <f>'[1]Riverwall Calculations'!U15</f>
        <v>46149</v>
      </c>
      <c r="W15" s="8" t="s">
        <v>59</v>
      </c>
      <c r="X15" s="8" t="s">
        <v>60</v>
      </c>
      <c r="Y15" s="8" t="s">
        <v>61</v>
      </c>
    </row>
    <row r="16" spans="1:25" x14ac:dyDescent="0.25">
      <c r="A16">
        <f>'[1]Riverwall Calculations'!A16</f>
        <v>15</v>
      </c>
      <c r="B16" t="str">
        <f>'[1]Riverwall Calculations'!B16</f>
        <v>RiversideFrShrRVW01A</v>
      </c>
      <c r="C16" t="str">
        <f>'[1]Riverwall Calculations'!C16</f>
        <v>RiversideFrShrRVW01A</v>
      </c>
      <c r="D16" t="str">
        <f>IF('[1]Riverwall Calculations'!D16=0,"", '[1]Riverwall Calculations'!D16)</f>
        <v/>
      </c>
      <c r="E16" t="str">
        <f>'[1]Riverwall Calculations'!E16</f>
        <v>Riverwall 01 - Riverside Drive Foreshore - Vertical Wall</v>
      </c>
      <c r="F16" t="str">
        <f>'[1]Riverwall Calculations'!F16</f>
        <v>Riverside Drive - See GIS record for exact location</v>
      </c>
      <c r="G16" t="str">
        <f>'[1]Riverwall Calculations'!G16</f>
        <v>Limestone armour</v>
      </c>
      <c r="H16" t="s">
        <v>25</v>
      </c>
      <c r="I16">
        <f>'[1]Riverwall Calculations'!I16</f>
        <v>96</v>
      </c>
      <c r="J16">
        <f>'[1]Riverwall Calculations'!J16</f>
        <v>1970</v>
      </c>
      <c r="K16" s="2">
        <f>'[1]Riverwall Calculations'!L16</f>
        <v>63474.713442930544</v>
      </c>
      <c r="L16" s="3">
        <f>IF('[1]Riverwall Calculations'!M16=0,"", '[1]Riverwall Calculations'!M16)</f>
        <v>3</v>
      </c>
      <c r="M16" s="4">
        <f>'[1]Riverwall Calculations'!N16</f>
        <v>19042.414032879162</v>
      </c>
      <c r="N16">
        <f>'[1]Riverwall Calculations'!O16</f>
        <v>80</v>
      </c>
      <c r="O16">
        <f>'[1]Riverwall Calculations'!P16</f>
        <v>24</v>
      </c>
      <c r="P16" s="5">
        <f>'[1]Riverwall Calculations'!Q16</f>
        <v>0</v>
      </c>
      <c r="Q16" s="6">
        <f>'[1]Riverwall Calculations'!R16</f>
        <v>1.2500000000000001E-2</v>
      </c>
      <c r="R16" s="2">
        <f>'[1]Riverwall Calculations'!S16</f>
        <v>793.43391803663178</v>
      </c>
      <c r="S16" s="2">
        <f>'[1]Riverwall Calculations'!T16</f>
        <v>44432.299410051382</v>
      </c>
      <c r="T16" s="2">
        <v>3</v>
      </c>
      <c r="U16" s="2" t="s">
        <v>26</v>
      </c>
      <c r="V16" s="7">
        <f>'[1]Riverwall Calculations'!U16</f>
        <v>46149</v>
      </c>
      <c r="W16" s="8" t="s">
        <v>62</v>
      </c>
      <c r="X16" s="8" t="s">
        <v>63</v>
      </c>
      <c r="Y16" s="8" t="s">
        <v>64</v>
      </c>
    </row>
    <row r="17" spans="1:25" x14ac:dyDescent="0.25">
      <c r="A17">
        <f>'[1]Riverwall Calculations'!A17</f>
        <v>16</v>
      </c>
      <c r="B17" t="str">
        <f>'[1]Riverwall Calculations'!B17</f>
        <v>RiversideFrShrRVW02A</v>
      </c>
      <c r="C17" t="str">
        <f>'[1]Riverwall Calculations'!C17</f>
        <v>RiversideFrShrRVW02A</v>
      </c>
      <c r="D17" t="str">
        <f>IF('[1]Riverwall Calculations'!D17=0,"", '[1]Riverwall Calculations'!D17)</f>
        <v/>
      </c>
      <c r="E17" t="str">
        <f>'[1]Riverwall Calculations'!E17</f>
        <v>Riverwall 02 - Riverside Drive Foreshore - Vertical Wall</v>
      </c>
      <c r="F17" t="str">
        <f>'[1]Riverwall Calculations'!F17</f>
        <v>Riverside Drive - See GIS record for exact location</v>
      </c>
      <c r="G17" t="str">
        <f>'[1]Riverwall Calculations'!G17</f>
        <v>Block wall with shotcrete
and red PSP</v>
      </c>
      <c r="H17" t="s">
        <v>25</v>
      </c>
      <c r="I17">
        <f>'[1]Riverwall Calculations'!I17</f>
        <v>948</v>
      </c>
      <c r="J17">
        <f>'[1]Riverwall Calculations'!J17</f>
        <v>1958</v>
      </c>
      <c r="K17" s="2">
        <f>'[1]Riverwall Calculations'!L17</f>
        <v>2125663.7442449951</v>
      </c>
      <c r="L17" s="3">
        <f>IF('[1]Riverwall Calculations'!M17=0,"", '[1]Riverwall Calculations'!M17)</f>
        <v>4</v>
      </c>
      <c r="M17" s="4">
        <f>'[1]Riverwall Calculations'!N17</f>
        <v>318849.56163674925</v>
      </c>
      <c r="N17">
        <f>'[1]Riverwall Calculations'!O17</f>
        <v>80</v>
      </c>
      <c r="O17">
        <f>'[1]Riverwall Calculations'!P17</f>
        <v>12</v>
      </c>
      <c r="P17" s="5">
        <f>'[1]Riverwall Calculations'!Q17</f>
        <v>0</v>
      </c>
      <c r="Q17" s="6">
        <f>'[1]Riverwall Calculations'!R17</f>
        <v>1.2500000000000001E-2</v>
      </c>
      <c r="R17" s="2">
        <f>'[1]Riverwall Calculations'!S17</f>
        <v>26570.79680306244</v>
      </c>
      <c r="S17" s="2">
        <f>'[1]Riverwall Calculations'!T17</f>
        <v>1806814.1826082459</v>
      </c>
      <c r="T17" s="2">
        <v>3</v>
      </c>
      <c r="U17" s="2" t="s">
        <v>26</v>
      </c>
      <c r="V17" s="7">
        <f>'[1]Riverwall Calculations'!U17</f>
        <v>46149</v>
      </c>
      <c r="W17" s="8" t="s">
        <v>65</v>
      </c>
      <c r="X17" s="8" t="s">
        <v>66</v>
      </c>
      <c r="Y17" s="8" t="s">
        <v>67</v>
      </c>
    </row>
    <row r="18" spans="1:25" x14ac:dyDescent="0.25">
      <c r="A18">
        <f>'[1]Riverwall Calculations'!A18</f>
        <v>17</v>
      </c>
      <c r="B18" t="str">
        <f>'[1]Riverwall Calculations'!B18</f>
        <v>RiversideFrShrRVW03A</v>
      </c>
      <c r="C18" t="str">
        <f>'[1]Riverwall Calculations'!C18</f>
        <v>RiversideFrShrRVW03A</v>
      </c>
      <c r="D18" t="str">
        <f>IF('[1]Riverwall Calculations'!D18=0,"", '[1]Riverwall Calculations'!D18)</f>
        <v/>
      </c>
      <c r="E18" t="str">
        <f>'[1]Riverwall Calculations'!E18</f>
        <v>Riverwall 03 - Riverside Drive Foreshore - Vertical Wall</v>
      </c>
      <c r="F18" t="str">
        <f>'[1]Riverwall Calculations'!F18</f>
        <v>Riverside Drive - See GIS record for exact location</v>
      </c>
      <c r="G18" t="str">
        <f>'[1]Riverwall Calculations'!G18</f>
        <v>Block wall with shotcrete
and red PSP</v>
      </c>
      <c r="H18" t="s">
        <v>25</v>
      </c>
      <c r="I18">
        <f>'[1]Riverwall Calculations'!I18</f>
        <v>225</v>
      </c>
      <c r="J18">
        <f>'[1]Riverwall Calculations'!J18</f>
        <v>1958</v>
      </c>
      <c r="K18" s="2">
        <f>'[1]Riverwall Calculations'!L18</f>
        <v>504508.80005814752</v>
      </c>
      <c r="L18" s="3">
        <f>IF('[1]Riverwall Calculations'!M18=0,"", '[1]Riverwall Calculations'!M18)</f>
        <v>4</v>
      </c>
      <c r="M18" s="4">
        <f>'[1]Riverwall Calculations'!N18</f>
        <v>75676.320008722119</v>
      </c>
      <c r="N18">
        <f>'[1]Riverwall Calculations'!O18</f>
        <v>80</v>
      </c>
      <c r="O18">
        <f>'[1]Riverwall Calculations'!P18</f>
        <v>12</v>
      </c>
      <c r="P18" s="5">
        <f>'[1]Riverwall Calculations'!Q18</f>
        <v>0</v>
      </c>
      <c r="Q18" s="6">
        <f>'[1]Riverwall Calculations'!R18</f>
        <v>1.2500000000000001E-2</v>
      </c>
      <c r="R18" s="2">
        <f>'[1]Riverwall Calculations'!S18</f>
        <v>6306.3600007268442</v>
      </c>
      <c r="S18" s="2">
        <f>'[1]Riverwall Calculations'!T18</f>
        <v>428832.48004942539</v>
      </c>
      <c r="T18" s="2">
        <v>3</v>
      </c>
      <c r="U18" s="2" t="s">
        <v>26</v>
      </c>
      <c r="V18" s="7">
        <f>'[1]Riverwall Calculations'!U18</f>
        <v>46149</v>
      </c>
      <c r="W18" s="8" t="s">
        <v>68</v>
      </c>
      <c r="X18" s="8" t="s">
        <v>69</v>
      </c>
    </row>
    <row r="19" spans="1:25" x14ac:dyDescent="0.25">
      <c r="A19">
        <f>'[1]Riverwall Calculations'!A19</f>
        <v>18</v>
      </c>
      <c r="B19" t="str">
        <f>'[1]Riverwall Calculations'!B19</f>
        <v>RiversideFrShrRVW04A</v>
      </c>
      <c r="C19" t="str">
        <f>'[1]Riverwall Calculations'!C19</f>
        <v>RiversideFrShrRVW04A</v>
      </c>
      <c r="D19" t="str">
        <f>IF('[1]Riverwall Calculations'!D19=0,"", '[1]Riverwall Calculations'!D19)</f>
        <v/>
      </c>
      <c r="E19" t="str">
        <f>'[1]Riverwall Calculations'!E19</f>
        <v>Riverwall 04 - Riverside Drive Foreshore - Vertical Wall with rear Rock Spalls</v>
      </c>
      <c r="F19" t="str">
        <f>'[1]Riverwall Calculations'!F19</f>
        <v>Riverside Drive - See GIS record for exact location</v>
      </c>
      <c r="G19" t="str">
        <f>'[1]Riverwall Calculations'!G19</f>
        <v>Block wall with shotcrete and limestone rock back fill</v>
      </c>
      <c r="H19" t="s">
        <v>25</v>
      </c>
      <c r="I19">
        <f>'[1]Riverwall Calculations'!I19</f>
        <v>142</v>
      </c>
      <c r="J19">
        <f>'[1]Riverwall Calculations'!J19</f>
        <v>1970</v>
      </c>
      <c r="K19" s="2">
        <f>'[1]Riverwall Calculations'!L19</f>
        <v>318401.10937003087</v>
      </c>
      <c r="L19" s="3">
        <f>IF('[1]Riverwall Calculations'!M19=0,"", '[1]Riverwall Calculations'!M19)</f>
        <v>3</v>
      </c>
      <c r="M19" s="4">
        <f>'[1]Riverwall Calculations'!N19</f>
        <v>95520.332811009255</v>
      </c>
      <c r="N19">
        <f>'[1]Riverwall Calculations'!O19</f>
        <v>80</v>
      </c>
      <c r="O19">
        <f>'[1]Riverwall Calculations'!P19</f>
        <v>24</v>
      </c>
      <c r="P19" s="5">
        <f>'[1]Riverwall Calculations'!Q19</f>
        <v>0</v>
      </c>
      <c r="Q19" s="6">
        <f>'[1]Riverwall Calculations'!R19</f>
        <v>1.2500000000000001E-2</v>
      </c>
      <c r="R19" s="2">
        <f>'[1]Riverwall Calculations'!S19</f>
        <v>3980.0138671253858</v>
      </c>
      <c r="S19" s="2">
        <f>'[1]Riverwall Calculations'!T19</f>
        <v>222880.77655902161</v>
      </c>
      <c r="T19" s="2">
        <v>3</v>
      </c>
      <c r="U19" s="2" t="s">
        <v>26</v>
      </c>
      <c r="V19" s="7">
        <f>'[1]Riverwall Calculations'!U19</f>
        <v>46149</v>
      </c>
      <c r="W19" s="8" t="s">
        <v>70</v>
      </c>
      <c r="X19" s="8" t="s">
        <v>71</v>
      </c>
      <c r="Y19" s="8" t="s">
        <v>72</v>
      </c>
    </row>
    <row r="20" spans="1:25" x14ac:dyDescent="0.25">
      <c r="A20">
        <f>'[1]Riverwall Calculations'!A20</f>
        <v>19</v>
      </c>
      <c r="B20" t="str">
        <f>'[1]Riverwall Calculations'!B20</f>
        <v>RiversideFrShrRVW05A</v>
      </c>
      <c r="C20" t="str">
        <f>'[1]Riverwall Calculations'!C20</f>
        <v>RiversideFrShrRVW05A</v>
      </c>
      <c r="D20" t="str">
        <f>IF('[1]Riverwall Calculations'!D20=0,"", '[1]Riverwall Calculations'!D20)</f>
        <v/>
      </c>
      <c r="E20" t="str">
        <f>'[1]Riverwall Calculations'!E20</f>
        <v>Riverwall 05 - Riverside Drive Foreshore - Vertical Wall</v>
      </c>
      <c r="F20" t="str">
        <f>'[1]Riverwall Calculations'!F20</f>
        <v>Riverside Drive - See GIS record for exact location</v>
      </c>
      <c r="G20" t="str">
        <f>'[1]Riverwall Calculations'!G20</f>
        <v>Block wall with shotcrete and limestone rock back fill</v>
      </c>
      <c r="H20" t="s">
        <v>25</v>
      </c>
      <c r="I20">
        <f>'[1]Riverwall Calculations'!I20</f>
        <v>53</v>
      </c>
      <c r="J20">
        <f>'[1]Riverwall Calculations'!J20</f>
        <v>1946</v>
      </c>
      <c r="K20" s="2">
        <f>'[1]Riverwall Calculations'!L20</f>
        <v>118839.85068036364</v>
      </c>
      <c r="L20" s="3">
        <f>IF('[1]Riverwall Calculations'!M20=0,"", '[1]Riverwall Calculations'!M20)</f>
        <v>5</v>
      </c>
      <c r="M20" s="4">
        <f>'[1]Riverwall Calculations'!N20</f>
        <v>0</v>
      </c>
      <c r="N20">
        <f>'[1]Riverwall Calculations'!O20</f>
        <v>80</v>
      </c>
      <c r="O20">
        <f>'[1]Riverwall Calculations'!P20</f>
        <v>0</v>
      </c>
      <c r="P20" s="5">
        <f>'[1]Riverwall Calculations'!Q20</f>
        <v>0</v>
      </c>
      <c r="Q20" s="6">
        <f>'[1]Riverwall Calculations'!R20</f>
        <v>1.2500000000000001E-2</v>
      </c>
      <c r="R20" s="2">
        <f>'[1]Riverwall Calculations'!S20</f>
        <v>1485.4981335045454</v>
      </c>
      <c r="S20" s="2">
        <f>'[1]Riverwall Calculations'!T20</f>
        <v>118839.85068036364</v>
      </c>
      <c r="T20" s="2">
        <v>3</v>
      </c>
      <c r="U20" s="2" t="s">
        <v>26</v>
      </c>
      <c r="V20" s="7">
        <f>'[1]Riverwall Calculations'!U20</f>
        <v>46149</v>
      </c>
      <c r="W20" s="8" t="s">
        <v>73</v>
      </c>
      <c r="X20" s="8" t="s">
        <v>74</v>
      </c>
      <c r="Y20" s="8" t="s">
        <v>75</v>
      </c>
    </row>
    <row r="21" spans="1:25" x14ac:dyDescent="0.25">
      <c r="A21">
        <f>'[1]Riverwall Calculations'!A21</f>
        <v>20</v>
      </c>
      <c r="B21" t="str">
        <f>'[1]Riverwall Calculations'!B21</f>
        <v>PointFraserRVW01A</v>
      </c>
      <c r="C21" t="str">
        <f>'[1]Riverwall Calculations'!C21</f>
        <v>PointFraserRVW01A</v>
      </c>
      <c r="D21" t="str">
        <f>IF('[1]Riverwall Calculations'!D21=0,"", '[1]Riverwall Calculations'!D21)</f>
        <v/>
      </c>
      <c r="E21" t="str">
        <f>'[1]Riverwall Calculations'!E21</f>
        <v>Riverwall 01 - Point Fraser Park - Vertical Wall</v>
      </c>
      <c r="F21" t="str">
        <f>'[1]Riverwall Calculations'!F21</f>
        <v>Point Fraser Park - See GIS record for exact location</v>
      </c>
      <c r="G21" t="str">
        <f>'[1]Riverwall Calculations'!G21</f>
        <v>Limestone armour</v>
      </c>
      <c r="H21" t="s">
        <v>25</v>
      </c>
      <c r="I21">
        <f>'[1]Riverwall Calculations'!I21</f>
        <v>88</v>
      </c>
      <c r="J21">
        <f>'[1]Riverwall Calculations'!J21</f>
        <v>1970</v>
      </c>
      <c r="K21" s="2">
        <f>'[1]Riverwall Calculations'!L21</f>
        <v>58185.153989352999</v>
      </c>
      <c r="L21" s="3">
        <f>IF('[1]Riverwall Calculations'!M21=0,"", '[1]Riverwall Calculations'!M21)</f>
        <v>3</v>
      </c>
      <c r="M21" s="4">
        <f>'[1]Riverwall Calculations'!N21</f>
        <v>17455.546196805899</v>
      </c>
      <c r="N21">
        <f>'[1]Riverwall Calculations'!O21</f>
        <v>80</v>
      </c>
      <c r="O21">
        <f>'[1]Riverwall Calculations'!P21</f>
        <v>24</v>
      </c>
      <c r="P21" s="5">
        <f>'[1]Riverwall Calculations'!Q21</f>
        <v>0</v>
      </c>
      <c r="Q21" s="6">
        <f>'[1]Riverwall Calculations'!R21</f>
        <v>1.2500000000000001E-2</v>
      </c>
      <c r="R21" s="2">
        <f>'[1]Riverwall Calculations'!S21</f>
        <v>727.31442486691253</v>
      </c>
      <c r="S21" s="2">
        <f>'[1]Riverwall Calculations'!T21</f>
        <v>40729.607792547104</v>
      </c>
      <c r="T21" s="2">
        <v>3</v>
      </c>
      <c r="U21" s="2" t="s">
        <v>26</v>
      </c>
      <c r="V21" s="7">
        <f>'[1]Riverwall Calculations'!U21</f>
        <v>46149</v>
      </c>
      <c r="W21" s="8" t="s">
        <v>76</v>
      </c>
      <c r="X21" s="8" t="s">
        <v>77</v>
      </c>
      <c r="Y21" s="8" t="s">
        <v>78</v>
      </c>
    </row>
    <row r="22" spans="1:25" x14ac:dyDescent="0.25">
      <c r="A22">
        <f>'[1]Riverwall Calculations'!A22</f>
        <v>21</v>
      </c>
      <c r="B22" t="str">
        <f>'[1]Riverwall Calculations'!B22</f>
        <v>EastPerthFrShrRVW05E</v>
      </c>
      <c r="C22" t="str">
        <f>'[1]Riverwall Calculations'!C22</f>
        <v>EastPerthFrShrRVW05E</v>
      </c>
      <c r="D22" t="str">
        <f>IF('[1]Riverwall Calculations'!D22=0,"", '[1]Riverwall Calculations'!D22)</f>
        <v/>
      </c>
      <c r="E22" t="str">
        <f>'[1]Riverwall Calculations'!E22</f>
        <v>Riverwall 05 - East Perth Foreshore - Beach</v>
      </c>
      <c r="F22" t="str">
        <f>'[1]Riverwall Calculations'!F22</f>
        <v>Mardalup Park - Beach</v>
      </c>
      <c r="G22" t="str">
        <f>'[1]Riverwall Calculations'!G22</f>
        <v>Sand and vegetation</v>
      </c>
      <c r="H22" t="s">
        <v>25</v>
      </c>
      <c r="I22">
        <f>'[1]Riverwall Calculations'!I22</f>
        <v>65</v>
      </c>
      <c r="J22" t="str">
        <f>'[1]Riverwall Calculations'!J22</f>
        <v/>
      </c>
      <c r="K22" s="2" t="str">
        <f>'[1]Riverwall Calculations'!L22</f>
        <v/>
      </c>
      <c r="L22" s="3" t="str">
        <f>IF('[1]Riverwall Calculations'!M22=0,"", '[1]Riverwall Calculations'!M22)</f>
        <v/>
      </c>
      <c r="M22" s="4" t="str">
        <f>'[1]Riverwall Calculations'!N22</f>
        <v/>
      </c>
      <c r="N22" t="str">
        <f>'[1]Riverwall Calculations'!O22</f>
        <v/>
      </c>
      <c r="O22" t="str">
        <f>'[1]Riverwall Calculations'!P22</f>
        <v/>
      </c>
      <c r="P22" s="5" t="str">
        <f>'[1]Riverwall Calculations'!Q22</f>
        <v/>
      </c>
      <c r="Q22" s="6" t="str">
        <f>'[1]Riverwall Calculations'!R22</f>
        <v/>
      </c>
      <c r="R22" s="2" t="str">
        <f>'[1]Riverwall Calculations'!S22</f>
        <v/>
      </c>
      <c r="S22" s="2" t="str">
        <f>'[1]Riverwall Calculations'!T22</f>
        <v/>
      </c>
      <c r="T22" s="2">
        <v>3</v>
      </c>
      <c r="U22" s="2" t="s">
        <v>26</v>
      </c>
      <c r="V22" s="7">
        <f>'[1]Riverwall Calculations'!U22</f>
        <v>46150</v>
      </c>
      <c r="W22" s="8" t="s">
        <v>79</v>
      </c>
      <c r="X22" s="8" t="s">
        <v>80</v>
      </c>
    </row>
    <row r="23" spans="1:25" x14ac:dyDescent="0.25">
      <c r="A23">
        <f>'[1]Riverwall Calculations'!A23</f>
        <v>22</v>
      </c>
      <c r="B23" t="str">
        <f>'[1]Riverwall Calculations'!B23</f>
        <v>EastPerthFrShrRVW03E</v>
      </c>
      <c r="C23" t="str">
        <f>'[1]Riverwall Calculations'!C23</f>
        <v>EastPerthFrShrRVW03E</v>
      </c>
      <c r="D23" t="str">
        <f>IF('[1]Riverwall Calculations'!D23=0,"", '[1]Riverwall Calculations'!D23)</f>
        <v/>
      </c>
      <c r="E23" t="str">
        <f>'[1]Riverwall Calculations'!E23</f>
        <v>Riverwall 03 - East Perth Foreshore - Natural edge, Plants, Coir logs and mats</v>
      </c>
      <c r="F23" t="str">
        <f>'[1]Riverwall Calculations'!F23</f>
        <v>East Perth Foreshore</v>
      </c>
      <c r="G23" t="str">
        <f>'[1]Riverwall Calculations'!G23</f>
        <v>Natural edge, Plants, Coir logs and mats</v>
      </c>
      <c r="H23" t="s">
        <v>25</v>
      </c>
      <c r="I23">
        <f>'[1]Riverwall Calculations'!I23</f>
        <v>78</v>
      </c>
      <c r="J23">
        <f>'[1]Riverwall Calculations'!J23</f>
        <v>2012</v>
      </c>
      <c r="K23" s="2">
        <f>'[1]Riverwall Calculations'!L23</f>
        <v>34595.792171880865</v>
      </c>
      <c r="L23" s="3">
        <f>IF('[1]Riverwall Calculations'!M23=0,"", '[1]Riverwall Calculations'!M23)</f>
        <v>3</v>
      </c>
      <c r="M23" s="4">
        <f>'[1]Riverwall Calculations'!N23</f>
        <v>10378.737651564259</v>
      </c>
      <c r="N23">
        <f>'[1]Riverwall Calculations'!O23</f>
        <v>20</v>
      </c>
      <c r="O23">
        <f>'[1]Riverwall Calculations'!P23</f>
        <v>6</v>
      </c>
      <c r="P23" s="5">
        <f>'[1]Riverwall Calculations'!Q23</f>
        <v>0</v>
      </c>
      <c r="Q23" s="6">
        <f>'[1]Riverwall Calculations'!R23</f>
        <v>0.05</v>
      </c>
      <c r="R23" s="2">
        <f>'[1]Riverwall Calculations'!S23</f>
        <v>1729.7896085940433</v>
      </c>
      <c r="S23" s="2">
        <f>'[1]Riverwall Calculations'!T23</f>
        <v>24217.054520316604</v>
      </c>
      <c r="T23" s="2">
        <v>3</v>
      </c>
      <c r="U23" s="2" t="s">
        <v>26</v>
      </c>
      <c r="V23" s="7">
        <f>'[1]Riverwall Calculations'!U23</f>
        <v>46150</v>
      </c>
      <c r="W23" s="8" t="s">
        <v>81</v>
      </c>
      <c r="X23" s="8" t="s">
        <v>82</v>
      </c>
    </row>
    <row r="24" spans="1:25" x14ac:dyDescent="0.25">
      <c r="A24">
        <f>'[1]Riverwall Calculations'!A24</f>
        <v>23</v>
      </c>
      <c r="B24" t="str">
        <f>'[1]Riverwall Calculations'!B24</f>
        <v>PointFraserRVW03A</v>
      </c>
      <c r="C24" t="str">
        <f>'[1]Riverwall Calculations'!C24</f>
        <v>PointFraserRVW03A</v>
      </c>
      <c r="D24" t="str">
        <f>IF('[1]Riverwall Calculations'!D24=0,"", '[1]Riverwall Calculations'!D24)</f>
        <v/>
      </c>
      <c r="E24" t="str">
        <f>'[1]Riverwall Calculations'!E24</f>
        <v>Riverwall 03 - Point Fraser Park - Vertical Wall</v>
      </c>
      <c r="F24" t="str">
        <f>'[1]Riverwall Calculations'!F24</f>
        <v>Point Fraser Park - Beach</v>
      </c>
      <c r="G24" t="str">
        <f>'[1]Riverwall Calculations'!G24</f>
        <v>Sand and limestone rocks</v>
      </c>
      <c r="H24" t="s">
        <v>25</v>
      </c>
      <c r="I24">
        <f>'[1]Riverwall Calculations'!I24</f>
        <v>107</v>
      </c>
      <c r="J24" t="str">
        <f>'[1]Riverwall Calculations'!J24</f>
        <v/>
      </c>
      <c r="K24" s="2" t="str">
        <f>'[1]Riverwall Calculations'!L24</f>
        <v/>
      </c>
      <c r="L24" s="3" t="str">
        <f>IF('[1]Riverwall Calculations'!M24=0,"", '[1]Riverwall Calculations'!M24)</f>
        <v/>
      </c>
      <c r="M24" s="4" t="str">
        <f>'[1]Riverwall Calculations'!N24</f>
        <v/>
      </c>
      <c r="N24" t="str">
        <f>'[1]Riverwall Calculations'!O24</f>
        <v/>
      </c>
      <c r="O24" t="str">
        <f>'[1]Riverwall Calculations'!P24</f>
        <v/>
      </c>
      <c r="P24" s="5" t="str">
        <f>'[1]Riverwall Calculations'!Q24</f>
        <v/>
      </c>
      <c r="Q24" s="6" t="str">
        <f>'[1]Riverwall Calculations'!R24</f>
        <v/>
      </c>
      <c r="R24" s="2" t="str">
        <f>'[1]Riverwall Calculations'!S24</f>
        <v/>
      </c>
      <c r="S24" s="2" t="str">
        <f>'[1]Riverwall Calculations'!T24</f>
        <v/>
      </c>
      <c r="T24" s="2">
        <v>3</v>
      </c>
      <c r="U24" s="2" t="s">
        <v>26</v>
      </c>
      <c r="V24" s="7">
        <f>'[1]Riverwall Calculations'!U24</f>
        <v>46149</v>
      </c>
      <c r="W24" s="8" t="s">
        <v>83</v>
      </c>
    </row>
    <row r="25" spans="1:25" x14ac:dyDescent="0.25">
      <c r="A25">
        <f>'[1]Riverwall Calculations'!A25</f>
        <v>24</v>
      </c>
      <c r="B25" t="str">
        <f>'[1]Riverwall Calculations'!B25</f>
        <v>PointFraserRVW04A</v>
      </c>
      <c r="C25" t="str">
        <f>'[1]Riverwall Calculations'!C25</f>
        <v>PointFraserRVW04A</v>
      </c>
      <c r="D25" t="str">
        <f>IF('[1]Riverwall Calculations'!D25=0,"", '[1]Riverwall Calculations'!D25)</f>
        <v/>
      </c>
      <c r="E25" t="str">
        <f>'[1]Riverwall Calculations'!E25</f>
        <v>Riverwall 04 - Point Fraser Park - Vertical Wall</v>
      </c>
      <c r="F25" t="str">
        <f>'[1]Riverwall Calculations'!F25</f>
        <v>Point Fraser Park - Gabion Wall</v>
      </c>
      <c r="G25" t="str">
        <f>'[1]Riverwall Calculations'!G25</f>
        <v>Granite gabion backed by sedges</v>
      </c>
      <c r="H25" t="s">
        <v>25</v>
      </c>
      <c r="I25">
        <f>'[1]Riverwall Calculations'!I25</f>
        <v>181</v>
      </c>
      <c r="J25">
        <f>'[1]Riverwall Calculations'!J25</f>
        <v>1998</v>
      </c>
      <c r="K25" s="2">
        <f>'[1]Riverwall Calculations'!L25</f>
        <v>87687.984388680503</v>
      </c>
      <c r="L25" s="3">
        <f>IF('[1]Riverwall Calculations'!M25=0,"", '[1]Riverwall Calculations'!M25)</f>
        <v>3</v>
      </c>
      <c r="M25" s="4">
        <f>'[1]Riverwall Calculations'!N25</f>
        <v>26306.39531660415</v>
      </c>
      <c r="N25">
        <f>'[1]Riverwall Calculations'!O25</f>
        <v>40</v>
      </c>
      <c r="O25">
        <f>'[1]Riverwall Calculations'!P25</f>
        <v>12</v>
      </c>
      <c r="P25" s="5">
        <f>'[1]Riverwall Calculations'!Q25</f>
        <v>0</v>
      </c>
      <c r="Q25" s="6">
        <f>'[1]Riverwall Calculations'!R25</f>
        <v>2.5000000000000001E-2</v>
      </c>
      <c r="R25" s="2">
        <f>'[1]Riverwall Calculations'!S25</f>
        <v>2192.1996097170127</v>
      </c>
      <c r="S25" s="2">
        <f>'[1]Riverwall Calculations'!T25</f>
        <v>61381.589072076356</v>
      </c>
      <c r="T25" s="2">
        <v>3</v>
      </c>
      <c r="U25" s="2" t="s">
        <v>26</v>
      </c>
      <c r="V25" s="7">
        <f>'[1]Riverwall Calculations'!U25</f>
        <v>46149</v>
      </c>
      <c r="W25" s="8" t="s">
        <v>84</v>
      </c>
      <c r="X25" s="8" t="s">
        <v>85</v>
      </c>
    </row>
    <row r="26" spans="1:25" x14ac:dyDescent="0.25">
      <c r="A26">
        <f>'[1]Riverwall Calculations'!A26</f>
        <v>25</v>
      </c>
      <c r="B26" t="str">
        <f>'[1]Riverwall Calculations'!B26</f>
        <v>PointFraserRVW02A</v>
      </c>
      <c r="C26" t="str">
        <f>'[1]Riverwall Calculations'!C26</f>
        <v>PointFraserRVW02A</v>
      </c>
      <c r="D26" t="str">
        <f>IF('[1]Riverwall Calculations'!D26=0,"", '[1]Riverwall Calculations'!D26)</f>
        <v/>
      </c>
      <c r="E26" t="str">
        <f>'[1]Riverwall Calculations'!E26</f>
        <v>Riverwall 02 - Point Fraser Park - Vertical Wall</v>
      </c>
      <c r="F26" t="str">
        <f>'[1]Riverwall Calculations'!F26</f>
        <v>Point Fraser Park - Beach</v>
      </c>
      <c r="G26" t="str">
        <f>'[1]Riverwall Calculations'!G26</f>
        <v>Rocky beach</v>
      </c>
      <c r="H26" t="s">
        <v>25</v>
      </c>
      <c r="I26">
        <f>'[1]Riverwall Calculations'!I26</f>
        <v>148</v>
      </c>
      <c r="J26" t="str">
        <f>'[1]Riverwall Calculations'!J26</f>
        <v/>
      </c>
      <c r="K26" s="2" t="str">
        <f>'[1]Riverwall Calculations'!L26</f>
        <v/>
      </c>
      <c r="L26" s="3" t="str">
        <f>IF('[1]Riverwall Calculations'!M26=0,"", '[1]Riverwall Calculations'!M26)</f>
        <v/>
      </c>
      <c r="M26" s="4" t="str">
        <f>'[1]Riverwall Calculations'!N26</f>
        <v/>
      </c>
      <c r="N26" t="str">
        <f>'[1]Riverwall Calculations'!O26</f>
        <v/>
      </c>
      <c r="O26" t="str">
        <f>'[1]Riverwall Calculations'!P26</f>
        <v/>
      </c>
      <c r="P26" s="5" t="str">
        <f>'[1]Riverwall Calculations'!Q26</f>
        <v/>
      </c>
      <c r="Q26" s="6" t="str">
        <f>'[1]Riverwall Calculations'!R26</f>
        <v/>
      </c>
      <c r="R26" s="2" t="str">
        <f>'[1]Riverwall Calculations'!S26</f>
        <v/>
      </c>
      <c r="S26" s="2" t="str">
        <f>'[1]Riverwall Calculations'!T26</f>
        <v/>
      </c>
      <c r="T26" s="2">
        <v>3</v>
      </c>
      <c r="U26" s="2" t="s">
        <v>26</v>
      </c>
      <c r="V26" s="7">
        <f>'[1]Riverwall Calculations'!U26</f>
        <v>46149</v>
      </c>
      <c r="W26" s="8" t="s">
        <v>86</v>
      </c>
      <c r="X26" s="8" t="s">
        <v>87</v>
      </c>
    </row>
    <row r="27" spans="1:25" x14ac:dyDescent="0.25">
      <c r="A27">
        <f>'[1]Riverwall Calculations'!A27</f>
        <v>26</v>
      </c>
      <c r="B27" t="str">
        <f>'[1]Riverwall Calculations'!B27</f>
        <v>HeirissonCOPRVW11A</v>
      </c>
      <c r="C27" t="str">
        <f>'[1]Riverwall Calculations'!C27</f>
        <v>HeirissonCOPRVW11A</v>
      </c>
      <c r="D27" t="str">
        <f>IF('[1]Riverwall Calculations'!D27=0,"", '[1]Riverwall Calculations'!D27)</f>
        <v/>
      </c>
      <c r="E27" t="str">
        <f>'[1]Riverwall Calculations'!E27</f>
        <v>Riverwall 11 - Heirisson Island - REVETMENT</v>
      </c>
      <c r="F27" t="str">
        <f>'[1]Riverwall Calculations'!F27</f>
        <v>Heirisson Island</v>
      </c>
      <c r="G27" t="str">
        <f>'[1]Riverwall Calculations'!G27</f>
        <v>Lose limestone rocks and wooden walls around trees</v>
      </c>
      <c r="H27" t="s">
        <v>25</v>
      </c>
      <c r="I27">
        <f>'[1]Riverwall Calculations'!I27</f>
        <v>107</v>
      </c>
      <c r="J27">
        <f>'[1]Riverwall Calculations'!J27</f>
        <v>1946</v>
      </c>
      <c r="K27" s="2">
        <f>'[1]Riverwall Calculations'!L27</f>
        <v>70747.857691599667</v>
      </c>
      <c r="L27" s="3">
        <f>IF('[1]Riverwall Calculations'!M27=0,"", '[1]Riverwall Calculations'!M27)</f>
        <v>5</v>
      </c>
      <c r="M27" s="4">
        <f>'[1]Riverwall Calculations'!N27</f>
        <v>0</v>
      </c>
      <c r="N27">
        <f>'[1]Riverwall Calculations'!O27</f>
        <v>80</v>
      </c>
      <c r="O27">
        <f>'[1]Riverwall Calculations'!P27</f>
        <v>0</v>
      </c>
      <c r="P27" s="5">
        <f>'[1]Riverwall Calculations'!Q27</f>
        <v>0</v>
      </c>
      <c r="Q27" s="6">
        <f>'[1]Riverwall Calculations'!R27</f>
        <v>1.2500000000000001E-2</v>
      </c>
      <c r="R27" s="2">
        <f>'[1]Riverwall Calculations'!S27</f>
        <v>884.34822114499582</v>
      </c>
      <c r="S27" s="2">
        <f>'[1]Riverwall Calculations'!T27</f>
        <v>70747.857691599667</v>
      </c>
      <c r="T27" s="2">
        <v>3</v>
      </c>
      <c r="U27" s="2" t="s">
        <v>26</v>
      </c>
      <c r="V27" s="7">
        <f>'[1]Riverwall Calculations'!U27</f>
        <v>46150</v>
      </c>
      <c r="W27" s="8" t="s">
        <v>88</v>
      </c>
      <c r="X27" s="8" t="s">
        <v>89</v>
      </c>
      <c r="Y27" s="8" t="s">
        <v>90</v>
      </c>
    </row>
    <row r="28" spans="1:25" x14ac:dyDescent="0.25">
      <c r="A28">
        <f>'[1]Riverwall Calculations'!A28</f>
        <v>27</v>
      </c>
      <c r="B28" t="str">
        <f>'[1]Riverwall Calculations'!B28</f>
        <v>HeirissonCOPRVW12A</v>
      </c>
      <c r="C28" t="str">
        <f>'[1]Riverwall Calculations'!C28</f>
        <v>HeirissonCOPRVW12A</v>
      </c>
      <c r="D28" t="str">
        <f>IF('[1]Riverwall Calculations'!D28=0,"", '[1]Riverwall Calculations'!D28)</f>
        <v/>
      </c>
      <c r="E28" t="str">
        <f>'[1]Riverwall Calculations'!E28</f>
        <v>Riverwall 12 - Heirisson Island - Beach</v>
      </c>
      <c r="F28" t="str">
        <f>'[1]Riverwall Calculations'!F28</f>
        <v>Heirisson Island</v>
      </c>
      <c r="G28" t="str">
        <f>'[1]Riverwall Calculations'!G28</f>
        <v>Limestone rocks and oyster shells</v>
      </c>
      <c r="H28" t="s">
        <v>25</v>
      </c>
      <c r="I28">
        <f>'[1]Riverwall Calculations'!I28</f>
        <v>283</v>
      </c>
      <c r="J28">
        <f>'[1]Riverwall Calculations'!J28</f>
        <v>2009</v>
      </c>
      <c r="K28" s="2">
        <f>'[1]Riverwall Calculations'!L28</f>
        <v>63326.797941958139</v>
      </c>
      <c r="L28" s="3">
        <f>IF('[1]Riverwall Calculations'!M28=0,"", '[1]Riverwall Calculations'!M28)</f>
        <v>4</v>
      </c>
      <c r="M28" s="4">
        <f>'[1]Riverwall Calculations'!N28</f>
        <v>9499.0196912937208</v>
      </c>
      <c r="N28">
        <f>'[1]Riverwall Calculations'!O28</f>
        <v>20</v>
      </c>
      <c r="O28">
        <f>'[1]Riverwall Calculations'!P28</f>
        <v>3</v>
      </c>
      <c r="P28" s="5">
        <f>'[1]Riverwall Calculations'!Q28</f>
        <v>0</v>
      </c>
      <c r="Q28" s="6">
        <f>'[1]Riverwall Calculations'!R28</f>
        <v>0.05</v>
      </c>
      <c r="R28" s="2">
        <f>'[1]Riverwall Calculations'!S28</f>
        <v>3166.3398970979069</v>
      </c>
      <c r="S28" s="2">
        <f>'[1]Riverwall Calculations'!T28</f>
        <v>53827.778250664414</v>
      </c>
      <c r="T28" s="2">
        <v>3</v>
      </c>
      <c r="U28" s="2" t="s">
        <v>26</v>
      </c>
      <c r="V28" s="7">
        <f>'[1]Riverwall Calculations'!U28</f>
        <v>46150</v>
      </c>
      <c r="W28" s="8" t="s">
        <v>91</v>
      </c>
      <c r="X28" s="8" t="s">
        <v>92</v>
      </c>
      <c r="Y28" s="8" t="s">
        <v>93</v>
      </c>
    </row>
    <row r="29" spans="1:25" x14ac:dyDescent="0.25">
      <c r="A29">
        <f>'[1]Riverwall Calculations'!A29</f>
        <v>28</v>
      </c>
      <c r="B29" t="str">
        <f>'[1]Riverwall Calculations'!B29</f>
        <v>HeirissonCOPRVW13A</v>
      </c>
      <c r="C29" t="str">
        <f>'[1]Riverwall Calculations'!C29</f>
        <v>HeirissonCOPRVW13A</v>
      </c>
      <c r="D29" t="str">
        <f>IF('[1]Riverwall Calculations'!D29=0,"", '[1]Riverwall Calculations'!D29)</f>
        <v/>
      </c>
      <c r="E29" t="str">
        <f>'[1]Riverwall Calculations'!E29</f>
        <v>Riverwall 13 - Heirisson Island - REVETMENT</v>
      </c>
      <c r="F29" t="str">
        <f>'[1]Riverwall Calculations'!F29</f>
        <v>Heirisson Island</v>
      </c>
      <c r="G29" t="str">
        <f>'[1]Riverwall Calculations'!G29</f>
        <v>Loose limestone rip rap revetment</v>
      </c>
      <c r="H29" t="s">
        <v>25</v>
      </c>
      <c r="I29">
        <f>'[1]Riverwall Calculations'!I29</f>
        <v>144</v>
      </c>
      <c r="J29">
        <f>'[1]Riverwall Calculations'!J29</f>
        <v>1958</v>
      </c>
      <c r="K29" s="2">
        <f>'[1]Riverwall Calculations'!L29</f>
        <v>95212.070164395816</v>
      </c>
      <c r="L29" s="3">
        <f>IF('[1]Riverwall Calculations'!M29=0,"", '[1]Riverwall Calculations'!M29)</f>
        <v>4</v>
      </c>
      <c r="M29" s="4">
        <f>'[1]Riverwall Calculations'!N29</f>
        <v>14281.810524659371</v>
      </c>
      <c r="N29">
        <f>'[1]Riverwall Calculations'!O29</f>
        <v>80</v>
      </c>
      <c r="O29">
        <f>'[1]Riverwall Calculations'!P29</f>
        <v>12</v>
      </c>
      <c r="P29" s="5">
        <f>'[1]Riverwall Calculations'!Q29</f>
        <v>0</v>
      </c>
      <c r="Q29" s="6">
        <f>'[1]Riverwall Calculations'!R29</f>
        <v>1.2500000000000001E-2</v>
      </c>
      <c r="R29" s="2">
        <f>'[1]Riverwall Calculations'!S29</f>
        <v>1190.1508770549476</v>
      </c>
      <c r="S29" s="2">
        <f>'[1]Riverwall Calculations'!T29</f>
        <v>80930.25963973644</v>
      </c>
      <c r="T29" s="2">
        <v>3</v>
      </c>
      <c r="U29" s="2" t="s">
        <v>26</v>
      </c>
      <c r="V29" s="7">
        <f>'[1]Riverwall Calculations'!U29</f>
        <v>46150</v>
      </c>
      <c r="W29" s="8" t="s">
        <v>94</v>
      </c>
      <c r="X29" s="8" t="s">
        <v>95</v>
      </c>
    </row>
    <row r="30" spans="1:25" x14ac:dyDescent="0.25">
      <c r="A30">
        <f>'[1]Riverwall Calculations'!A30</f>
        <v>29</v>
      </c>
      <c r="B30" t="str">
        <f>'[1]Riverwall Calculations'!B30</f>
        <v>HeirissonCOPRVW10A</v>
      </c>
      <c r="C30" t="str">
        <f>'[1]Riverwall Calculations'!C30</f>
        <v>HeirissonCOPRVW10A</v>
      </c>
      <c r="D30" t="str">
        <f>IF('[1]Riverwall Calculations'!D30=0,"", '[1]Riverwall Calculations'!D30)</f>
        <v/>
      </c>
      <c r="E30" t="str">
        <f>'[1]Riverwall Calculations'!E30</f>
        <v>Riverwall 10 - Heirisson Island - BIOENGINEERING</v>
      </c>
      <c r="F30" t="str">
        <f>'[1]Riverwall Calculations'!F30</f>
        <v>Heirisson Island</v>
      </c>
      <c r="G30" t="str">
        <f>'[1]Riverwall Calculations'!G30</f>
        <v>Wooden stakes, some brush walls</v>
      </c>
      <c r="H30" t="s">
        <v>25</v>
      </c>
      <c r="I30">
        <f>'[1]Riverwall Calculations'!I30</f>
        <v>80</v>
      </c>
      <c r="J30">
        <f>'[1]Riverwall Calculations'!J30</f>
        <v>2011</v>
      </c>
      <c r="K30" s="2">
        <f>'[1]Riverwall Calculations'!L30</f>
        <v>35482.863766031653</v>
      </c>
      <c r="L30" s="3">
        <f>IF('[1]Riverwall Calculations'!M30=0,"", '[1]Riverwall Calculations'!M30)</f>
        <v>5</v>
      </c>
      <c r="M30" s="4">
        <f>'[1]Riverwall Calculations'!N30</f>
        <v>0</v>
      </c>
      <c r="N30">
        <f>'[1]Riverwall Calculations'!O30</f>
        <v>15</v>
      </c>
      <c r="O30">
        <f>'[1]Riverwall Calculations'!P30</f>
        <v>0</v>
      </c>
      <c r="P30" s="5">
        <f>'[1]Riverwall Calculations'!Q30</f>
        <v>0</v>
      </c>
      <c r="Q30" s="6">
        <f>'[1]Riverwall Calculations'!R30</f>
        <v>6.6666666666666666E-2</v>
      </c>
      <c r="R30" s="2">
        <f>'[1]Riverwall Calculations'!S30</f>
        <v>2365.5242510687767</v>
      </c>
      <c r="S30" s="2">
        <f>'[1]Riverwall Calculations'!T30</f>
        <v>35482.863766031653</v>
      </c>
      <c r="T30" s="2">
        <v>3</v>
      </c>
      <c r="U30" s="2" t="s">
        <v>26</v>
      </c>
      <c r="V30" s="7">
        <f>'[1]Riverwall Calculations'!U30</f>
        <v>46150</v>
      </c>
      <c r="W30" s="8" t="s">
        <v>96</v>
      </c>
      <c r="X30" s="8" t="s">
        <v>97</v>
      </c>
      <c r="Y30" s="8" t="s">
        <v>98</v>
      </c>
    </row>
    <row r="31" spans="1:25" x14ac:dyDescent="0.25">
      <c r="A31">
        <f>'[1]Riverwall Calculations'!A31</f>
        <v>30</v>
      </c>
      <c r="B31" t="str">
        <f>'[1]Riverwall Calculations'!B31</f>
        <v>HeirissonCOPRVW09A</v>
      </c>
      <c r="C31" t="str">
        <f>'[1]Riverwall Calculations'!C31</f>
        <v>HeirissonCOPRVW09A</v>
      </c>
      <c r="D31" t="str">
        <f>IF('[1]Riverwall Calculations'!D31=0,"", '[1]Riverwall Calculations'!D31)</f>
        <v/>
      </c>
      <c r="E31" t="str">
        <f>'[1]Riverwall Calculations'!E31</f>
        <v>Riverwall 09 - Heirisson Island - Beach</v>
      </c>
      <c r="F31" t="str">
        <f>'[1]Riverwall Calculations'!F31</f>
        <v>Heirisson Island</v>
      </c>
      <c r="G31" t="str">
        <f>'[1]Riverwall Calculations'!G31</f>
        <v>Rocky and shelly beach, possible dredge spoil</v>
      </c>
      <c r="H31" t="s">
        <v>25</v>
      </c>
      <c r="I31">
        <f>'[1]Riverwall Calculations'!I31</f>
        <v>63</v>
      </c>
      <c r="J31" t="str">
        <f>'[1]Riverwall Calculations'!J31</f>
        <v/>
      </c>
      <c r="K31" s="2" t="str">
        <f>'[1]Riverwall Calculations'!L31</f>
        <v/>
      </c>
      <c r="L31" s="3" t="str">
        <f>IF('[1]Riverwall Calculations'!M31=0,"", '[1]Riverwall Calculations'!M31)</f>
        <v/>
      </c>
      <c r="M31" s="4" t="str">
        <f>'[1]Riverwall Calculations'!N31</f>
        <v/>
      </c>
      <c r="N31" t="str">
        <f>'[1]Riverwall Calculations'!O31</f>
        <v/>
      </c>
      <c r="O31" t="str">
        <f>'[1]Riverwall Calculations'!P31</f>
        <v/>
      </c>
      <c r="P31" s="5" t="str">
        <f>'[1]Riverwall Calculations'!Q31</f>
        <v/>
      </c>
      <c r="Q31" s="6" t="str">
        <f>'[1]Riverwall Calculations'!R31</f>
        <v/>
      </c>
      <c r="R31" s="2" t="str">
        <f>'[1]Riverwall Calculations'!S31</f>
        <v/>
      </c>
      <c r="S31" s="2" t="str">
        <f>'[1]Riverwall Calculations'!T31</f>
        <v/>
      </c>
      <c r="T31" s="2">
        <v>3</v>
      </c>
      <c r="U31" s="2" t="s">
        <v>26</v>
      </c>
      <c r="V31" s="7">
        <f>'[1]Riverwall Calculations'!U31</f>
        <v>46150</v>
      </c>
      <c r="W31" s="8" t="s">
        <v>99</v>
      </c>
    </row>
    <row r="32" spans="1:25" x14ac:dyDescent="0.25">
      <c r="A32">
        <f>'[1]Riverwall Calculations'!A32</f>
        <v>31</v>
      </c>
      <c r="B32" t="str">
        <f>'[1]Riverwall Calculations'!B32</f>
        <v>HeirissonCOPRVW08A</v>
      </c>
      <c r="C32" t="str">
        <f>'[1]Riverwall Calculations'!C32</f>
        <v>HeirissonCOPRVW08A</v>
      </c>
      <c r="D32" t="str">
        <f>IF('[1]Riverwall Calculations'!D32=0,"", '[1]Riverwall Calculations'!D32)</f>
        <v/>
      </c>
      <c r="E32" t="str">
        <f>'[1]Riverwall Calculations'!E32</f>
        <v>Riverwall 08 - Heirisson Island - Beach</v>
      </c>
      <c r="F32" t="str">
        <f>'[1]Riverwall Calculations'!F32</f>
        <v>Heirisson Island</v>
      </c>
      <c r="G32" t="str">
        <f>'[1]Riverwall Calculations'!G32</f>
        <v>Rocky and shelly beach, possible dredge spoil</v>
      </c>
      <c r="H32" t="s">
        <v>25</v>
      </c>
      <c r="I32">
        <f>'[1]Riverwall Calculations'!I32</f>
        <v>111</v>
      </c>
      <c r="J32" t="str">
        <f>'[1]Riverwall Calculations'!J32</f>
        <v/>
      </c>
      <c r="K32" s="2" t="str">
        <f>'[1]Riverwall Calculations'!L32</f>
        <v/>
      </c>
      <c r="L32" s="3" t="str">
        <f>IF('[1]Riverwall Calculations'!M32=0,"", '[1]Riverwall Calculations'!M32)</f>
        <v/>
      </c>
      <c r="M32" s="4" t="str">
        <f>'[1]Riverwall Calculations'!N32</f>
        <v/>
      </c>
      <c r="N32" t="str">
        <f>'[1]Riverwall Calculations'!O32</f>
        <v/>
      </c>
      <c r="O32" t="str">
        <f>'[1]Riverwall Calculations'!P32</f>
        <v/>
      </c>
      <c r="P32" s="5" t="str">
        <f>'[1]Riverwall Calculations'!Q32</f>
        <v/>
      </c>
      <c r="Q32" s="6" t="str">
        <f>'[1]Riverwall Calculations'!R32</f>
        <v/>
      </c>
      <c r="R32" s="2" t="str">
        <f>'[1]Riverwall Calculations'!S32</f>
        <v/>
      </c>
      <c r="S32" s="2" t="str">
        <f>'[1]Riverwall Calculations'!T32</f>
        <v/>
      </c>
      <c r="T32" s="2">
        <v>3</v>
      </c>
      <c r="U32" s="2" t="s">
        <v>26</v>
      </c>
      <c r="V32" s="7">
        <f>'[1]Riverwall Calculations'!U32</f>
        <v>46150</v>
      </c>
      <c r="W32" s="8" t="s">
        <v>100</v>
      </c>
    </row>
    <row r="33" spans="1:25" x14ac:dyDescent="0.25">
      <c r="A33">
        <f>'[1]Riverwall Calculations'!A33</f>
        <v>32</v>
      </c>
      <c r="B33" t="str">
        <f>'[1]Riverwall Calculations'!B33</f>
        <v>MardalupPkRVW09A</v>
      </c>
      <c r="C33" t="str">
        <f>'[1]Riverwall Calculations'!C33</f>
        <v>MardalupPkRVW09A</v>
      </c>
      <c r="D33" t="str">
        <f>IF('[1]Riverwall Calculations'!D33=0,"", '[1]Riverwall Calculations'!D33)</f>
        <v/>
      </c>
      <c r="E33" t="str">
        <f>'[1]Riverwall Calculations'!E33</f>
        <v>Riverwall 09 - Mardalup Park - Limestone Block Wall</v>
      </c>
      <c r="F33" t="str">
        <f>'[1]Riverwall Calculations'!F33</f>
        <v>Mardalup Park - Wall</v>
      </c>
      <c r="G33" t="str">
        <f>'[1]Riverwall Calculations'!G33</f>
        <v>Limestone block</v>
      </c>
      <c r="H33" t="s">
        <v>25</v>
      </c>
      <c r="I33">
        <f>'[1]Riverwall Calculations'!I33</f>
        <v>31</v>
      </c>
      <c r="J33">
        <f>'[1]Riverwall Calculations'!J33</f>
        <v>2026</v>
      </c>
      <c r="K33" s="2">
        <f>'[1]Riverwall Calculations'!L33</f>
        <v>64679.557540689886</v>
      </c>
      <c r="L33" s="3">
        <f>IF('[1]Riverwall Calculations'!M33=0,"", '[1]Riverwall Calculations'!M33)</f>
        <v>1</v>
      </c>
      <c r="M33" s="4">
        <f>'[1]Riverwall Calculations'!N33</f>
        <v>64679.557540689886</v>
      </c>
      <c r="N33">
        <f>'[1]Riverwall Calculations'!O33</f>
        <v>80</v>
      </c>
      <c r="O33">
        <f>'[1]Riverwall Calculations'!P33</f>
        <v>80</v>
      </c>
      <c r="P33" s="5">
        <f>'[1]Riverwall Calculations'!Q33</f>
        <v>0</v>
      </c>
      <c r="Q33" s="6">
        <f>'[1]Riverwall Calculations'!R33</f>
        <v>1.2500000000000001E-2</v>
      </c>
      <c r="R33" s="2">
        <f>'[1]Riverwall Calculations'!S33</f>
        <v>808.49446925862355</v>
      </c>
      <c r="S33" s="2">
        <f>'[1]Riverwall Calculations'!T33</f>
        <v>0</v>
      </c>
      <c r="T33" s="2">
        <v>3</v>
      </c>
      <c r="U33" s="2" t="s">
        <v>26</v>
      </c>
      <c r="V33" s="7">
        <f>'[1]Riverwall Calculations'!U33</f>
        <v>46150</v>
      </c>
      <c r="W33" s="8" t="s">
        <v>101</v>
      </c>
    </row>
    <row r="34" spans="1:25" x14ac:dyDescent="0.25">
      <c r="A34">
        <f>'[1]Riverwall Calculations'!A34</f>
        <v>33</v>
      </c>
      <c r="B34" t="str">
        <f>'[1]Riverwall Calculations'!B34</f>
        <v>MardalupPkRVW10A</v>
      </c>
      <c r="C34" t="str">
        <f>'[1]Riverwall Calculations'!C34</f>
        <v>MardalupPkRVW10A</v>
      </c>
      <c r="D34" t="str">
        <f>IF('[1]Riverwall Calculations'!D34=0,"", '[1]Riverwall Calculations'!D34)</f>
        <v/>
      </c>
      <c r="E34" t="str">
        <f>'[1]Riverwall Calculations'!E34</f>
        <v>Riverwall 10 - Mardalup Park - Limestone Wall</v>
      </c>
      <c r="F34" t="str">
        <f>'[1]Riverwall Calculations'!F34</f>
        <v>Mardalup Park - Revetment</v>
      </c>
      <c r="G34" t="str">
        <f>'[1]Riverwall Calculations'!G34</f>
        <v>Limestone</v>
      </c>
      <c r="H34" t="s">
        <v>25</v>
      </c>
      <c r="I34">
        <f>'[1]Riverwall Calculations'!I34</f>
        <v>25</v>
      </c>
      <c r="J34">
        <f>'[1]Riverwall Calculations'!J34</f>
        <v>1958</v>
      </c>
      <c r="K34" s="2">
        <f>'[1]Riverwall Calculations'!L34</f>
        <v>16529.873292429831</v>
      </c>
      <c r="L34" s="3">
        <f>IF('[1]Riverwall Calculations'!M34=0,"", '[1]Riverwall Calculations'!M34)</f>
        <v>4</v>
      </c>
      <c r="M34" s="4">
        <f>'[1]Riverwall Calculations'!N34</f>
        <v>2479.4809938644744</v>
      </c>
      <c r="N34">
        <f>'[1]Riverwall Calculations'!O34</f>
        <v>80</v>
      </c>
      <c r="O34">
        <f>'[1]Riverwall Calculations'!P34</f>
        <v>12</v>
      </c>
      <c r="P34" s="5">
        <f>'[1]Riverwall Calculations'!Q34</f>
        <v>0</v>
      </c>
      <c r="Q34" s="6">
        <f>'[1]Riverwall Calculations'!R34</f>
        <v>1.2500000000000001E-2</v>
      </c>
      <c r="R34" s="2">
        <f>'[1]Riverwall Calculations'!S34</f>
        <v>206.62341615537289</v>
      </c>
      <c r="S34" s="2">
        <f>'[1]Riverwall Calculations'!T34</f>
        <v>14050.392298565357</v>
      </c>
      <c r="T34" s="2">
        <v>3</v>
      </c>
      <c r="U34" s="2" t="s">
        <v>26</v>
      </c>
      <c r="V34" s="7">
        <f>'[1]Riverwall Calculations'!U34</f>
        <v>46150</v>
      </c>
      <c r="W34" s="8" t="s">
        <v>102</v>
      </c>
      <c r="X34" s="8" t="s">
        <v>103</v>
      </c>
    </row>
    <row r="35" spans="1:25" x14ac:dyDescent="0.25">
      <c r="A35">
        <f>'[1]Riverwall Calculations'!A35</f>
        <v>34</v>
      </c>
      <c r="B35" t="str">
        <f>'[1]Riverwall Calculations'!B35</f>
        <v>MardalupPkRVW11A</v>
      </c>
      <c r="C35" t="str">
        <f>'[1]Riverwall Calculations'!C35</f>
        <v>MardalupPkRVW11A</v>
      </c>
      <c r="D35" t="str">
        <f>IF('[1]Riverwall Calculations'!D35=0,"", '[1]Riverwall Calculations'!D35)</f>
        <v/>
      </c>
      <c r="E35" t="str">
        <f>'[1]Riverwall Calculations'!E35</f>
        <v>Riverwall 11 - Mardalup Park - Beach</v>
      </c>
      <c r="F35" t="str">
        <f>'[1]Riverwall Calculations'!F35</f>
        <v>Mardalup Park - Beach</v>
      </c>
      <c r="G35" t="str">
        <f>'[1]Riverwall Calculations'!G35</f>
        <v>Small rocks and vegetation</v>
      </c>
      <c r="H35" t="s">
        <v>25</v>
      </c>
      <c r="I35">
        <f>'[1]Riverwall Calculations'!I35</f>
        <v>91</v>
      </c>
      <c r="J35" t="str">
        <f>'[1]Riverwall Calculations'!J35</f>
        <v/>
      </c>
      <c r="K35" s="2" t="str">
        <f>'[1]Riverwall Calculations'!L35</f>
        <v/>
      </c>
      <c r="L35" s="3" t="str">
        <f>IF('[1]Riverwall Calculations'!M35=0,"", '[1]Riverwall Calculations'!M35)</f>
        <v/>
      </c>
      <c r="M35" s="4" t="str">
        <f>'[1]Riverwall Calculations'!N35</f>
        <v/>
      </c>
      <c r="N35" t="str">
        <f>'[1]Riverwall Calculations'!O35</f>
        <v/>
      </c>
      <c r="O35" t="str">
        <f>'[1]Riverwall Calculations'!P35</f>
        <v/>
      </c>
      <c r="P35" s="5" t="str">
        <f>'[1]Riverwall Calculations'!Q35</f>
        <v/>
      </c>
      <c r="Q35" s="6" t="str">
        <f>'[1]Riverwall Calculations'!R35</f>
        <v/>
      </c>
      <c r="R35" s="2" t="str">
        <f>'[1]Riverwall Calculations'!S35</f>
        <v/>
      </c>
      <c r="S35" s="2" t="str">
        <f>'[1]Riverwall Calculations'!T35</f>
        <v/>
      </c>
      <c r="T35" s="2">
        <v>3</v>
      </c>
      <c r="U35" s="2" t="s">
        <v>26</v>
      </c>
      <c r="V35" s="7">
        <f>'[1]Riverwall Calculations'!U35</f>
        <v>46150</v>
      </c>
      <c r="W35" s="8" t="s">
        <v>104</v>
      </c>
      <c r="X35" s="8" t="s">
        <v>105</v>
      </c>
      <c r="Y35" s="8" t="s">
        <v>106</v>
      </c>
    </row>
    <row r="36" spans="1:25" x14ac:dyDescent="0.25">
      <c r="A36">
        <f>'[1]Riverwall Calculations'!A36</f>
        <v>35</v>
      </c>
      <c r="B36" t="str">
        <f>'[1]Riverwall Calculations'!B36</f>
        <v>EastPerthFrShrRVW04E</v>
      </c>
      <c r="C36" t="str">
        <f>'[1]Riverwall Calculations'!C36</f>
        <v>EastPerthFrShrRVW04E</v>
      </c>
      <c r="D36" t="str">
        <f>IF('[1]Riverwall Calculations'!D36=0,"", '[1]Riverwall Calculations'!D36)</f>
        <v/>
      </c>
      <c r="E36" t="str">
        <f>'[1]Riverwall Calculations'!E36</f>
        <v>Riverwall 04 - East Perth Foreshore - Granite REVETMENT</v>
      </c>
      <c r="F36" t="str">
        <f>'[1]Riverwall Calculations'!F36</f>
        <v>East Perth Foreshore - Granite REVETMENT</v>
      </c>
      <c r="G36" t="str">
        <f>'[1]Riverwall Calculations'!G36</f>
        <v>Granite</v>
      </c>
      <c r="H36" t="s">
        <v>25</v>
      </c>
      <c r="I36">
        <f>'[1]Riverwall Calculations'!I36</f>
        <v>323</v>
      </c>
      <c r="J36">
        <f>'[1]Riverwall Calculations'!J36</f>
        <v>2026</v>
      </c>
      <c r="K36" s="2">
        <f>'[1]Riverwall Calculations'!L36</f>
        <v>243103.12925915443</v>
      </c>
      <c r="L36" s="3">
        <f>IF('[1]Riverwall Calculations'!M36=0,"", '[1]Riverwall Calculations'!M36)</f>
        <v>1</v>
      </c>
      <c r="M36" s="4">
        <f>'[1]Riverwall Calculations'!N36</f>
        <v>243103.12925915443</v>
      </c>
      <c r="N36">
        <f>'[1]Riverwall Calculations'!O36</f>
        <v>80</v>
      </c>
      <c r="O36">
        <f>'[1]Riverwall Calculations'!P36</f>
        <v>80</v>
      </c>
      <c r="P36" s="5">
        <f>'[1]Riverwall Calculations'!Q36</f>
        <v>0</v>
      </c>
      <c r="Q36" s="6">
        <f>'[1]Riverwall Calculations'!R36</f>
        <v>1.2500000000000001E-2</v>
      </c>
      <c r="R36" s="2">
        <f>'[1]Riverwall Calculations'!S36</f>
        <v>3038.7891157394306</v>
      </c>
      <c r="S36" s="2">
        <f>'[1]Riverwall Calculations'!T36</f>
        <v>0</v>
      </c>
      <c r="T36" s="2">
        <v>3</v>
      </c>
      <c r="U36" s="2" t="s">
        <v>26</v>
      </c>
      <c r="V36" s="7">
        <f>'[1]Riverwall Calculations'!U36</f>
        <v>46150</v>
      </c>
      <c r="W36" s="8" t="s">
        <v>107</v>
      </c>
      <c r="X36" s="8" t="s">
        <v>108</v>
      </c>
      <c r="Y36" s="8" t="s">
        <v>109</v>
      </c>
    </row>
    <row r="37" spans="1:25" x14ac:dyDescent="0.25">
      <c r="A37">
        <f>'[1]Riverwall Calculations'!A37</f>
        <v>36</v>
      </c>
      <c r="B37" t="str">
        <f>'[1]Riverwall Calculations'!B37</f>
        <v>EastPerthFrShrRVW06E</v>
      </c>
      <c r="C37" t="str">
        <f>'[1]Riverwall Calculations'!C37</f>
        <v>EastPerthFrShrRVW06E</v>
      </c>
      <c r="D37" t="str">
        <f>IF('[1]Riverwall Calculations'!D37=0,"", '[1]Riverwall Calculations'!D37)</f>
        <v/>
      </c>
      <c r="E37" t="str">
        <f>'[1]Riverwall Calculations'!E37</f>
        <v>Riverwall 06 - East Perth Foreshore - Beach</v>
      </c>
      <c r="F37" t="str">
        <f>'[1]Riverwall Calculations'!F37</f>
        <v>Mardalup Park - Beach</v>
      </c>
      <c r="G37" t="str">
        <f>'[1]Riverwall Calculations'!G37</f>
        <v>Sand and rubble</v>
      </c>
      <c r="H37" t="s">
        <v>25</v>
      </c>
      <c r="I37">
        <f>'[1]Riverwall Calculations'!I37</f>
        <v>189</v>
      </c>
      <c r="J37" t="str">
        <f>'[1]Riverwall Calculations'!J37</f>
        <v/>
      </c>
      <c r="K37" s="2" t="str">
        <f>'[1]Riverwall Calculations'!L37</f>
        <v/>
      </c>
      <c r="L37" s="3" t="str">
        <f>IF('[1]Riverwall Calculations'!M37=0,"", '[1]Riverwall Calculations'!M37)</f>
        <v/>
      </c>
      <c r="M37" s="4" t="str">
        <f>'[1]Riverwall Calculations'!N37</f>
        <v/>
      </c>
      <c r="N37" t="str">
        <f>'[1]Riverwall Calculations'!O37</f>
        <v/>
      </c>
      <c r="O37" t="str">
        <f>'[1]Riverwall Calculations'!P37</f>
        <v/>
      </c>
      <c r="P37" s="5" t="str">
        <f>'[1]Riverwall Calculations'!Q37</f>
        <v/>
      </c>
      <c r="Q37" s="6" t="str">
        <f>'[1]Riverwall Calculations'!R37</f>
        <v/>
      </c>
      <c r="R37" s="2" t="str">
        <f>'[1]Riverwall Calculations'!S37</f>
        <v/>
      </c>
      <c r="S37" s="2" t="str">
        <f>'[1]Riverwall Calculations'!T37</f>
        <v/>
      </c>
      <c r="T37" s="2">
        <v>3</v>
      </c>
      <c r="U37" s="2" t="s">
        <v>26</v>
      </c>
      <c r="V37" s="7">
        <f>'[1]Riverwall Calculations'!U37</f>
        <v>46150</v>
      </c>
      <c r="W37" s="8" t="s">
        <v>110</v>
      </c>
      <c r="X37" s="8" t="s">
        <v>111</v>
      </c>
    </row>
    <row r="38" spans="1:25" x14ac:dyDescent="0.25">
      <c r="A38">
        <f>'[1]Riverwall Calculations'!A38</f>
        <v>37</v>
      </c>
      <c r="B38" t="str">
        <f>'[1]Riverwall Calculations'!B38</f>
        <v>VictoriaGdnsRVW001A</v>
      </c>
      <c r="C38" t="str">
        <f>'[1]Riverwall Calculations'!C38</f>
        <v>VictoriaGdnsRVW001A</v>
      </c>
      <c r="D38" t="str">
        <f>IF('[1]Riverwall Calculations'!D38=0,"", '[1]Riverwall Calculations'!D38)</f>
        <v/>
      </c>
      <c r="E38" t="str">
        <f>'[1]Riverwall Calculations'!E38</f>
        <v>Riverwall 01 - Victoria GardensPark - Rock Armour</v>
      </c>
      <c r="F38" t="str">
        <f>'[1]Riverwall Calculations'!F38</f>
        <v>CLAISEBROOK COVE SOUTH SECTION</v>
      </c>
      <c r="G38" t="str">
        <f>'[1]Riverwall Calculations'!G38</f>
        <v>Granite Rocks</v>
      </c>
      <c r="H38" t="s">
        <v>25</v>
      </c>
      <c r="I38">
        <f>'[1]Riverwall Calculations'!I38</f>
        <v>28</v>
      </c>
      <c r="J38">
        <f>'[1]Riverwall Calculations'!J38</f>
        <v>2010</v>
      </c>
      <c r="K38" s="2">
        <f>'[1]Riverwall Calculations'!L38</f>
        <v>13564.99206012737</v>
      </c>
      <c r="L38" s="3">
        <f>IF('[1]Riverwall Calculations'!M38=0,"", '[1]Riverwall Calculations'!M38)</f>
        <v>2</v>
      </c>
      <c r="M38" s="4">
        <f>'[1]Riverwall Calculations'!N38</f>
        <v>8138.9952360764219</v>
      </c>
      <c r="N38">
        <f>'[1]Riverwall Calculations'!O38</f>
        <v>40</v>
      </c>
      <c r="O38">
        <f>'[1]Riverwall Calculations'!P38</f>
        <v>24</v>
      </c>
      <c r="P38" s="5">
        <f>'[1]Riverwall Calculations'!Q38</f>
        <v>0</v>
      </c>
      <c r="Q38" s="6">
        <f>'[1]Riverwall Calculations'!R38</f>
        <v>2.5000000000000001E-2</v>
      </c>
      <c r="R38" s="2">
        <f>'[1]Riverwall Calculations'!S38</f>
        <v>339.12480150318424</v>
      </c>
      <c r="S38" s="2">
        <f>'[1]Riverwall Calculations'!T38</f>
        <v>5425.9968240509479</v>
      </c>
      <c r="T38" s="2">
        <v>3</v>
      </c>
      <c r="U38" s="2" t="s">
        <v>26</v>
      </c>
      <c r="V38" s="7">
        <f>'[1]Riverwall Calculations'!U38</f>
        <v>46150</v>
      </c>
      <c r="W38" s="8" t="s">
        <v>112</v>
      </c>
      <c r="X38" s="8" t="s">
        <v>113</v>
      </c>
      <c r="Y38" s="8" t="s">
        <v>114</v>
      </c>
    </row>
    <row r="39" spans="1:25" x14ac:dyDescent="0.25">
      <c r="A39">
        <f>'[1]Riverwall Calculations'!A39</f>
        <v>38</v>
      </c>
      <c r="B39" t="str">
        <f>'[1]Riverwall Calculations'!B39</f>
        <v>MountsBayFrShrRVW14A</v>
      </c>
      <c r="C39">
        <f>'[1]Riverwall Calculations'!C39</f>
        <v>0</v>
      </c>
      <c r="D39" t="str">
        <f>IF('[1]Riverwall Calculations'!D39=0,"", '[1]Riverwall Calculations'!D39)</f>
        <v>MountsBayFrShrRVW14A_C2605071114</v>
      </c>
      <c r="E39" t="str">
        <f>'[1]Riverwall Calculations'!E39</f>
        <v>Riverwall 14 - Mounts Bay Road Foreshore - Near Swan Brewery Stage 5 - [DBCA Ref: SRPer07 East Old Swan Brewery.B02]</v>
      </c>
      <c r="F39" t="str">
        <f>'[1]Riverwall Calculations'!F39</f>
        <v>Mounts Bay Road Foreshore</v>
      </c>
      <c r="G39" t="str">
        <f>'[1]Riverwall Calculations'!G39</f>
        <v>Limestone blocks with shotcrete, new concrete capping &amp; gabion at toe.</v>
      </c>
      <c r="H39" t="s">
        <v>25</v>
      </c>
      <c r="I39">
        <f>'[1]Riverwall Calculations'!I39</f>
        <v>18</v>
      </c>
      <c r="J39">
        <f>'[1]Riverwall Calculations'!J39</f>
        <v>1970</v>
      </c>
      <c r="K39" s="2">
        <f>'[1]Riverwall Calculations'!L39</f>
        <v>40360.704004651801</v>
      </c>
      <c r="L39" s="3">
        <f>IF('[1]Riverwall Calculations'!M39=0,"", '[1]Riverwall Calculations'!M39)</f>
        <v>3</v>
      </c>
      <c r="M39" s="4">
        <f>'[1]Riverwall Calculations'!N39</f>
        <v>12108.211201395539</v>
      </c>
      <c r="N39">
        <f>'[1]Riverwall Calculations'!O39</f>
        <v>80</v>
      </c>
      <c r="O39">
        <f>'[1]Riverwall Calculations'!P39</f>
        <v>24</v>
      </c>
      <c r="P39" s="5">
        <f>'[1]Riverwall Calculations'!Q39</f>
        <v>0</v>
      </c>
      <c r="Q39" s="6">
        <f>'[1]Riverwall Calculations'!R39</f>
        <v>1.2500000000000001E-2</v>
      </c>
      <c r="R39" s="2">
        <f>'[1]Riverwall Calculations'!S39</f>
        <v>504.50880005814753</v>
      </c>
      <c r="S39" s="2">
        <f>'[1]Riverwall Calculations'!T39</f>
        <v>28252.49280325626</v>
      </c>
      <c r="T39" s="2">
        <v>3</v>
      </c>
      <c r="U39" s="2" t="s">
        <v>26</v>
      </c>
      <c r="V39" s="7">
        <f>'[1]Riverwall Calculations'!U39</f>
        <v>46149</v>
      </c>
      <c r="W39" s="8" t="s">
        <v>115</v>
      </c>
      <c r="X39" s="8" t="s">
        <v>116</v>
      </c>
    </row>
    <row r="40" spans="1:25" x14ac:dyDescent="0.25">
      <c r="A40">
        <f>'[1]Riverwall Calculations'!A40</f>
        <v>39</v>
      </c>
      <c r="B40" t="str">
        <f>'[1]Riverwall Calculations'!B40</f>
        <v>MountsBayFrShrRVW13A</v>
      </c>
      <c r="C40">
        <f>'[1]Riverwall Calculations'!C40</f>
        <v>0</v>
      </c>
      <c r="D40" t="str">
        <f>IF('[1]Riverwall Calculations'!D40=0,"", '[1]Riverwall Calculations'!D40)</f>
        <v>MountsBayFrShrRVW13A_C2605071134</v>
      </c>
      <c r="E40" t="str">
        <f>'[1]Riverwall Calculations'!E40</f>
        <v>Riverwall 13 - Mounts Bay Road Foreshore - Vertical wall - South of Old Swan Brewery - [DBCA Ref: SRPer09 West Old Swan Brewery.B02]</v>
      </c>
      <c r="F40" t="str">
        <f>'[1]Riverwall Calculations'!F40</f>
        <v>Mounts Bay Road Foreshore</v>
      </c>
      <c r="G40" t="str">
        <f>'[1]Riverwall Calculations'!G40</f>
        <v>Mortared limestone rocks</v>
      </c>
      <c r="H40" t="s">
        <v>25</v>
      </c>
      <c r="I40">
        <f>'[1]Riverwall Calculations'!I40</f>
        <v>24</v>
      </c>
      <c r="J40">
        <f>'[1]Riverwall Calculations'!J40</f>
        <v>1994</v>
      </c>
      <c r="K40" s="2">
        <f>'[1]Riverwall Calculations'!L40</f>
        <v>16613.565652809091</v>
      </c>
      <c r="L40" s="3">
        <f>IF('[1]Riverwall Calculations'!M40=0,"", '[1]Riverwall Calculations'!M40)</f>
        <v>2</v>
      </c>
      <c r="M40" s="4">
        <f>'[1]Riverwall Calculations'!N40</f>
        <v>9968.139391685454</v>
      </c>
      <c r="N40">
        <f>'[1]Riverwall Calculations'!O40</f>
        <v>80</v>
      </c>
      <c r="O40">
        <f>'[1]Riverwall Calculations'!P40</f>
        <v>48</v>
      </c>
      <c r="P40" s="5">
        <f>'[1]Riverwall Calculations'!Q40</f>
        <v>0</v>
      </c>
      <c r="Q40" s="6">
        <f>'[1]Riverwall Calculations'!R40</f>
        <v>1.2500000000000001E-2</v>
      </c>
      <c r="R40" s="2">
        <f>'[1]Riverwall Calculations'!S40</f>
        <v>207.66957066011364</v>
      </c>
      <c r="S40" s="2">
        <f>'[1]Riverwall Calculations'!T40</f>
        <v>6645.4262611236372</v>
      </c>
      <c r="T40" s="2">
        <v>3</v>
      </c>
      <c r="U40" s="2" t="s">
        <v>26</v>
      </c>
      <c r="V40" s="7">
        <f>'[1]Riverwall Calculations'!U40</f>
        <v>46149</v>
      </c>
      <c r="W40" s="8" t="s">
        <v>117</v>
      </c>
    </row>
    <row r="41" spans="1:25" x14ac:dyDescent="0.25">
      <c r="A41">
        <f>'[1]Riverwall Calculations'!A41</f>
        <v>41</v>
      </c>
      <c r="B41" t="str">
        <f>'[1]Riverwall Calculations'!B41</f>
        <v>RiversideFrShrRVW01A</v>
      </c>
      <c r="C41">
        <f>'[1]Riverwall Calculations'!C41</f>
        <v>0</v>
      </c>
      <c r="D41" t="str">
        <f>IF('[1]Riverwall Calculations'!D41=0,"", '[1]Riverwall Calculations'!D41)</f>
        <v>RiversideFrShrRVW01A_C2605071323</v>
      </c>
      <c r="E41" t="str">
        <f>'[1]Riverwall Calculations'!E41</f>
        <v>Riverwall 01 - Riverside Drive Foreshore - Vertical Wall</v>
      </c>
      <c r="F41" t="str">
        <f>'[1]Riverwall Calculations'!F41</f>
        <v>Riverside Drive - See GIS record for exact location</v>
      </c>
      <c r="G41" t="str">
        <f>'[1]Riverwall Calculations'!G41</f>
        <v>Limestone armour</v>
      </c>
      <c r="H41" t="s">
        <v>25</v>
      </c>
      <c r="I41">
        <f>'[1]Riverwall Calculations'!I41</f>
        <v>76</v>
      </c>
      <c r="J41">
        <f>'[1]Riverwall Calculations'!J41</f>
        <v>1970</v>
      </c>
      <c r="K41" s="2">
        <f>'[1]Riverwall Calculations'!L41</f>
        <v>50250.814808986681</v>
      </c>
      <c r="L41" s="3">
        <f>IF('[1]Riverwall Calculations'!M41=0,"", '[1]Riverwall Calculations'!M41)</f>
        <v>3</v>
      </c>
      <c r="M41" s="4">
        <f>'[1]Riverwall Calculations'!N41</f>
        <v>15075.244442696003</v>
      </c>
      <c r="N41">
        <f>'[1]Riverwall Calculations'!O41</f>
        <v>80</v>
      </c>
      <c r="O41">
        <f>'[1]Riverwall Calculations'!P41</f>
        <v>24</v>
      </c>
      <c r="P41" s="5">
        <f>'[1]Riverwall Calculations'!Q41</f>
        <v>0</v>
      </c>
      <c r="Q41" s="6">
        <f>'[1]Riverwall Calculations'!R41</f>
        <v>1.2500000000000001E-2</v>
      </c>
      <c r="R41" s="2">
        <f>'[1]Riverwall Calculations'!S41</f>
        <v>628.13518511233349</v>
      </c>
      <c r="S41" s="2">
        <f>'[1]Riverwall Calculations'!T41</f>
        <v>35175.570366290674</v>
      </c>
      <c r="T41" s="2">
        <v>3</v>
      </c>
      <c r="U41" s="2" t="s">
        <v>26</v>
      </c>
      <c r="V41" s="7">
        <f>'[1]Riverwall Calculations'!U41</f>
        <v>46149</v>
      </c>
      <c r="W41" s="8" t="s">
        <v>118</v>
      </c>
      <c r="X41" s="8" t="s">
        <v>119</v>
      </c>
      <c r="Y41" s="8" t="s">
        <v>120</v>
      </c>
    </row>
    <row r="42" spans="1:25" x14ac:dyDescent="0.25">
      <c r="A42">
        <f>'[1]Riverwall Calculations'!A42</f>
        <v>42</v>
      </c>
      <c r="B42" t="str">
        <f>'[1]Riverwall Calculations'!B42</f>
        <v>EastPerthFrShrRVW04E</v>
      </c>
      <c r="C42">
        <f>'[1]Riverwall Calculations'!C42</f>
        <v>0</v>
      </c>
      <c r="D42" t="str">
        <f>IF('[1]Riverwall Calculations'!D42=0,"", '[1]Riverwall Calculations'!D42)</f>
        <v>EastPerthFrShrRVW04E_C2605081400</v>
      </c>
      <c r="E42" t="str">
        <f>'[1]Riverwall Calculations'!E42</f>
        <v>Riverwall 04 - East Perth Foreshore - Granite REVETMENT</v>
      </c>
      <c r="F42" t="str">
        <f>'[1]Riverwall Calculations'!F42</f>
        <v>East Perth Foreshore - Granite REVETMENT</v>
      </c>
      <c r="G42" t="str">
        <f>'[1]Riverwall Calculations'!G42</f>
        <v>Granite</v>
      </c>
      <c r="H42" t="s">
        <v>25</v>
      </c>
      <c r="I42">
        <f>'[1]Riverwall Calculations'!I42</f>
        <v>19</v>
      </c>
      <c r="J42">
        <f>'[1]Riverwall Calculations'!J42</f>
        <v>1970</v>
      </c>
      <c r="K42" s="2">
        <f>'[1]Riverwall Calculations'!L42</f>
        <v>14300.184074067909</v>
      </c>
      <c r="L42" s="3">
        <f>IF('[1]Riverwall Calculations'!M42=0,"", '[1]Riverwall Calculations'!M42)</f>
        <v>3</v>
      </c>
      <c r="M42" s="4">
        <f>'[1]Riverwall Calculations'!N42</f>
        <v>4290.0552222203723</v>
      </c>
      <c r="N42">
        <f>'[1]Riverwall Calculations'!O42</f>
        <v>80</v>
      </c>
      <c r="O42">
        <f>'[1]Riverwall Calculations'!P42</f>
        <v>24</v>
      </c>
      <c r="P42" s="5">
        <f>'[1]Riverwall Calculations'!Q42</f>
        <v>0</v>
      </c>
      <c r="Q42" s="6">
        <f>'[1]Riverwall Calculations'!R42</f>
        <v>1.2500000000000001E-2</v>
      </c>
      <c r="R42" s="2">
        <f>'[1]Riverwall Calculations'!S42</f>
        <v>178.75230092584886</v>
      </c>
      <c r="S42" s="2">
        <f>'[1]Riverwall Calculations'!T42</f>
        <v>10010.128851847538</v>
      </c>
      <c r="T42" s="2">
        <v>3</v>
      </c>
      <c r="U42" s="2" t="s">
        <v>26</v>
      </c>
      <c r="V42" s="7">
        <f>'[1]Riverwall Calculations'!U42</f>
        <v>46150</v>
      </c>
      <c r="W42" s="8" t="s">
        <v>121</v>
      </c>
      <c r="X42" s="8" t="s">
        <v>122</v>
      </c>
    </row>
    <row r="43" spans="1:25" x14ac:dyDescent="0.25">
      <c r="A43">
        <f>'[1]Riverwall Calculations'!A43</f>
        <v>43</v>
      </c>
      <c r="B43" t="str">
        <f>'[1]Riverwall Calculations'!B43</f>
        <v>HeirissonCOPRVW12A</v>
      </c>
      <c r="C43">
        <f>'[1]Riverwall Calculations'!C43</f>
        <v>0</v>
      </c>
      <c r="D43" t="str">
        <f>IF('[1]Riverwall Calculations'!D43=0,"", '[1]Riverwall Calculations'!D43)</f>
        <v>HeirissonCOPRVW12A_C2605081457</v>
      </c>
      <c r="E43" t="str">
        <f>'[1]Riverwall Calculations'!E43</f>
        <v>Riverwall 12 - Heirisson Island - Beach</v>
      </c>
      <c r="F43" t="str">
        <f>'[1]Riverwall Calculations'!F43</f>
        <v>Heirisson Island</v>
      </c>
      <c r="G43" t="str">
        <f>'[1]Riverwall Calculations'!G43</f>
        <v>Limestone rocks and oyster shells</v>
      </c>
      <c r="H43" t="s">
        <v>25</v>
      </c>
      <c r="I43">
        <f>'[1]Riverwall Calculations'!I43</f>
        <v>564</v>
      </c>
      <c r="J43">
        <f>'[1]Riverwall Calculations'!J43</f>
        <v>2006</v>
      </c>
      <c r="K43" s="2">
        <f>'[1]Riverwall Calculations'!L43</f>
        <v>126206.0566758459</v>
      </c>
      <c r="L43" s="3">
        <f>IF('[1]Riverwall Calculations'!M43=0,"", '[1]Riverwall Calculations'!M43)</f>
        <v>5</v>
      </c>
      <c r="M43" s="4">
        <f>'[1]Riverwall Calculations'!N43</f>
        <v>0</v>
      </c>
      <c r="N43">
        <f>'[1]Riverwall Calculations'!O43</f>
        <v>20</v>
      </c>
      <c r="O43">
        <f>'[1]Riverwall Calculations'!P43</f>
        <v>0</v>
      </c>
      <c r="P43" s="5">
        <f>'[1]Riverwall Calculations'!Q43</f>
        <v>0</v>
      </c>
      <c r="Q43" s="6">
        <f>'[1]Riverwall Calculations'!R43</f>
        <v>0.05</v>
      </c>
      <c r="R43" s="2">
        <f>'[1]Riverwall Calculations'!S43</f>
        <v>6310.3028337922951</v>
      </c>
      <c r="S43" s="2">
        <f>'[1]Riverwall Calculations'!T43</f>
        <v>126206.0566758459</v>
      </c>
      <c r="T43" s="2">
        <v>3</v>
      </c>
      <c r="U43" s="2" t="s">
        <v>26</v>
      </c>
      <c r="V43" s="7">
        <f>'[1]Riverwall Calculations'!U43</f>
        <v>46150</v>
      </c>
      <c r="W43" s="8" t="s">
        <v>123</v>
      </c>
      <c r="X43" s="8" t="s">
        <v>124</v>
      </c>
      <c r="Y43" s="8" t="s">
        <v>125</v>
      </c>
    </row>
    <row r="44" spans="1:25" x14ac:dyDescent="0.25">
      <c r="A44">
        <f>'[1]Riverwall Calculations'!A44</f>
        <v>44</v>
      </c>
      <c r="B44" t="str">
        <f>'[1]Riverwall Calculations'!B44</f>
        <v>HeirissonCOPRVW10A</v>
      </c>
      <c r="C44">
        <f>'[1]Riverwall Calculations'!C44</f>
        <v>0</v>
      </c>
      <c r="D44" t="str">
        <f>IF('[1]Riverwall Calculations'!D44=0,"", '[1]Riverwall Calculations'!D44)</f>
        <v>HeirissonCOPRVW10A_C2605081520</v>
      </c>
      <c r="E44" t="str">
        <f>'[1]Riverwall Calculations'!E44</f>
        <v>Riverwall 10 - Heirisson Island - BIOENGINEERING</v>
      </c>
      <c r="F44" t="str">
        <f>'[1]Riverwall Calculations'!F44</f>
        <v>Heirisson Island</v>
      </c>
      <c r="G44" t="str">
        <f>'[1]Riverwall Calculations'!G44</f>
        <v>Wooden stakes, some brush walls</v>
      </c>
      <c r="H44" t="s">
        <v>25</v>
      </c>
      <c r="I44">
        <f>'[1]Riverwall Calculations'!I44</f>
        <v>78</v>
      </c>
      <c r="J44">
        <f>'[1]Riverwall Calculations'!J44</f>
        <v>2011</v>
      </c>
      <c r="K44" s="2">
        <f>'[1]Riverwall Calculations'!L44</f>
        <v>34595.792171880865</v>
      </c>
      <c r="L44" s="3">
        <f>IF('[1]Riverwall Calculations'!M44=0,"", '[1]Riverwall Calculations'!M44)</f>
        <v>5</v>
      </c>
      <c r="M44" s="4">
        <f>'[1]Riverwall Calculations'!N44</f>
        <v>0</v>
      </c>
      <c r="N44">
        <f>'[1]Riverwall Calculations'!O44</f>
        <v>15</v>
      </c>
      <c r="O44">
        <f>'[1]Riverwall Calculations'!P44</f>
        <v>0</v>
      </c>
      <c r="P44" s="5">
        <f>'[1]Riverwall Calculations'!Q44</f>
        <v>0</v>
      </c>
      <c r="Q44" s="6">
        <f>'[1]Riverwall Calculations'!R44</f>
        <v>6.6666666666666666E-2</v>
      </c>
      <c r="R44" s="2">
        <f>'[1]Riverwall Calculations'!S44</f>
        <v>2306.3861447920576</v>
      </c>
      <c r="S44" s="2">
        <f>'[1]Riverwall Calculations'!T44</f>
        <v>34595.792171880865</v>
      </c>
      <c r="T44" s="2">
        <v>3</v>
      </c>
      <c r="U44" s="2" t="s">
        <v>26</v>
      </c>
      <c r="V44" s="7">
        <f>'[1]Riverwall Calculations'!U44</f>
        <v>46150</v>
      </c>
      <c r="W44" s="8" t="s">
        <v>126</v>
      </c>
    </row>
    <row r="45" spans="1:25" x14ac:dyDescent="0.25">
      <c r="A45">
        <f>'[1]Riverwall Calculations'!A45</f>
        <v>45</v>
      </c>
      <c r="B45" t="str">
        <f>'[1]Riverwall Calculations'!B45</f>
        <v>HeirissonCOPRVW13A</v>
      </c>
      <c r="C45">
        <f>'[1]Riverwall Calculations'!C45</f>
        <v>0</v>
      </c>
      <c r="D45" t="str">
        <f>IF('[1]Riverwall Calculations'!D45=0,"", '[1]Riverwall Calculations'!D45)</f>
        <v>HeirissonCOPRVW13A_C2605081550</v>
      </c>
      <c r="E45" t="str">
        <f>'[1]Riverwall Calculations'!E45</f>
        <v>Riverwall 13 - Heirisson Island - REVETMENT</v>
      </c>
      <c r="F45" t="str">
        <f>'[1]Riverwall Calculations'!F45</f>
        <v>Heirisson Island</v>
      </c>
      <c r="G45" t="str">
        <f>'[1]Riverwall Calculations'!G45</f>
        <v>Loose limestone rip rap revetment</v>
      </c>
      <c r="H45" t="s">
        <v>25</v>
      </c>
      <c r="I45">
        <f>'[1]Riverwall Calculations'!I45</f>
        <v>93</v>
      </c>
      <c r="J45">
        <f>'[1]Riverwall Calculations'!J45</f>
        <v>1994</v>
      </c>
      <c r="K45" s="2">
        <f>'[1]Riverwall Calculations'!L45</f>
        <v>61491.128647838967</v>
      </c>
      <c r="L45" s="3">
        <f>IF('[1]Riverwall Calculations'!M45=0,"", '[1]Riverwall Calculations'!M45)</f>
        <v>2</v>
      </c>
      <c r="M45" s="4">
        <f>'[1]Riverwall Calculations'!N45</f>
        <v>36894.677188703376</v>
      </c>
      <c r="N45">
        <f>'[1]Riverwall Calculations'!O45</f>
        <v>80</v>
      </c>
      <c r="O45">
        <f>'[1]Riverwall Calculations'!P45</f>
        <v>48</v>
      </c>
      <c r="P45" s="5">
        <f>'[1]Riverwall Calculations'!Q45</f>
        <v>0</v>
      </c>
      <c r="Q45" s="6">
        <f>'[1]Riverwall Calculations'!R45</f>
        <v>1.2500000000000001E-2</v>
      </c>
      <c r="R45" s="2">
        <f>'[1]Riverwall Calculations'!S45</f>
        <v>768.6391080979871</v>
      </c>
      <c r="S45" s="2">
        <f>'[1]Riverwall Calculations'!T45</f>
        <v>24596.451459135591</v>
      </c>
      <c r="T45" s="2">
        <v>3</v>
      </c>
      <c r="U45" s="2" t="s">
        <v>26</v>
      </c>
      <c r="V45" s="7">
        <f>'[1]Riverwall Calculations'!U45</f>
        <v>46150</v>
      </c>
      <c r="W45" s="8" t="s">
        <v>127</v>
      </c>
      <c r="X45" s="8" t="s">
        <v>128</v>
      </c>
    </row>
    <row r="46" spans="1:25" x14ac:dyDescent="0.25">
      <c r="A46">
        <f>'[1]Riverwall Calculations'!A46</f>
        <v>46</v>
      </c>
      <c r="B46" t="str">
        <f>'[1]Riverwall Calculations'!B46</f>
        <v>MardalupPkRVW08A</v>
      </c>
      <c r="C46">
        <f>'[1]Riverwall Calculations'!C46</f>
        <v>0</v>
      </c>
      <c r="D46" t="str">
        <f>IF('[1]Riverwall Calculations'!D46=0,"", '[1]Riverwall Calculations'!D46)</f>
        <v>MardalupPkRVW08A_C2605081631</v>
      </c>
      <c r="E46" t="str">
        <f>'[1]Riverwall Calculations'!E46</f>
        <v>Riverwall 08 - Mardalup Park - Natural Limestone Wall</v>
      </c>
      <c r="F46" t="str">
        <f>'[1]Riverwall Calculations'!F46</f>
        <v>Mardalup Park - Rock revetment groyne</v>
      </c>
      <c r="G46" t="str">
        <f>'[1]Riverwall Calculations'!G46</f>
        <v>Natural limestone block</v>
      </c>
      <c r="H46" t="s">
        <v>25</v>
      </c>
      <c r="I46">
        <f>'[1]Riverwall Calculations'!I46</f>
        <v>31</v>
      </c>
      <c r="J46">
        <f>'[1]Riverwall Calculations'!J46</f>
        <v>1994</v>
      </c>
      <c r="K46" s="2">
        <f>'[1]Riverwall Calculations'!L46</f>
        <v>64679.557540689886</v>
      </c>
      <c r="L46" s="3">
        <f>IF('[1]Riverwall Calculations'!M46=0,"", '[1]Riverwall Calculations'!M46)</f>
        <v>2</v>
      </c>
      <c r="M46" s="4">
        <f>'[1]Riverwall Calculations'!N46</f>
        <v>38807.734524413929</v>
      </c>
      <c r="N46">
        <f>'[1]Riverwall Calculations'!O46</f>
        <v>80</v>
      </c>
      <c r="O46">
        <f>'[1]Riverwall Calculations'!P46</f>
        <v>48</v>
      </c>
      <c r="P46" s="5">
        <f>'[1]Riverwall Calculations'!Q46</f>
        <v>0</v>
      </c>
      <c r="Q46" s="6">
        <f>'[1]Riverwall Calculations'!R46</f>
        <v>1.2500000000000001E-2</v>
      </c>
      <c r="R46" s="2">
        <f>'[1]Riverwall Calculations'!S46</f>
        <v>808.49446925862355</v>
      </c>
      <c r="S46" s="2">
        <f>'[1]Riverwall Calculations'!T46</f>
        <v>25871.823016275957</v>
      </c>
      <c r="T46" s="2">
        <v>3</v>
      </c>
      <c r="U46" s="2" t="s">
        <v>26</v>
      </c>
      <c r="V46" s="7">
        <f>'[1]Riverwall Calculations'!U46</f>
        <v>46150</v>
      </c>
      <c r="W46" s="8" t="s">
        <v>129</v>
      </c>
      <c r="X46" s="8" t="s">
        <v>130</v>
      </c>
    </row>
    <row r="47" spans="1:25" x14ac:dyDescent="0.25">
      <c r="A47">
        <f>'[1]Riverwall Calculations'!A47</f>
        <v>47</v>
      </c>
      <c r="B47" t="str">
        <f>'[1]Riverwall Calculations'!B47</f>
        <v>RiversideFrShrRVW05A</v>
      </c>
      <c r="C47">
        <f>'[1]Riverwall Calculations'!C47</f>
        <v>0</v>
      </c>
      <c r="D47" t="str">
        <f>IF('[1]Riverwall Calculations'!D47=0,"", '[1]Riverwall Calculations'!D47)</f>
        <v>RiversideFrShrRVW05A_C2605101539</v>
      </c>
      <c r="E47" t="str">
        <f>'[1]Riverwall Calculations'!E47</f>
        <v>Riverwall 05 - Riverside Drive Foreshore - Vertical Wall</v>
      </c>
      <c r="F47" t="str">
        <f>'[1]Riverwall Calculations'!F47</f>
        <v>Riverside Drive - See GIS record for exact location</v>
      </c>
      <c r="G47" t="str">
        <f>'[1]Riverwall Calculations'!G47</f>
        <v>Block wall with shotcrete and limestone rock back fill</v>
      </c>
      <c r="H47" t="s">
        <v>25</v>
      </c>
      <c r="I47">
        <f>'[1]Riverwall Calculations'!I47</f>
        <v>23</v>
      </c>
      <c r="J47">
        <f>'[1]Riverwall Calculations'!J47</f>
        <v>1970</v>
      </c>
      <c r="K47" s="2">
        <f>'[1]Riverwall Calculations'!L47</f>
        <v>51572.010672610631</v>
      </c>
      <c r="L47" s="3">
        <f>IF('[1]Riverwall Calculations'!M47=0,"", '[1]Riverwall Calculations'!M47)</f>
        <v>3</v>
      </c>
      <c r="M47" s="4">
        <f>'[1]Riverwall Calculations'!N47</f>
        <v>15471.603201783189</v>
      </c>
      <c r="N47">
        <f>'[1]Riverwall Calculations'!O47</f>
        <v>80</v>
      </c>
      <c r="O47">
        <f>'[1]Riverwall Calculations'!P47</f>
        <v>24</v>
      </c>
      <c r="P47" s="5">
        <f>'[1]Riverwall Calculations'!Q47</f>
        <v>0</v>
      </c>
      <c r="Q47" s="6">
        <f>'[1]Riverwall Calculations'!R47</f>
        <v>1.2500000000000001E-2</v>
      </c>
      <c r="R47" s="2">
        <f>'[1]Riverwall Calculations'!S47</f>
        <v>644.65013340763289</v>
      </c>
      <c r="S47" s="2">
        <f>'[1]Riverwall Calculations'!T47</f>
        <v>36100.407470827442</v>
      </c>
      <c r="T47" s="2">
        <v>3</v>
      </c>
      <c r="U47" s="2" t="s">
        <v>26</v>
      </c>
      <c r="V47" s="7">
        <f>'[1]Riverwall Calculations'!U47</f>
        <v>46149</v>
      </c>
      <c r="W47" s="8" t="s">
        <v>131</v>
      </c>
    </row>
    <row r="48" spans="1:25" x14ac:dyDescent="0.25">
      <c r="M48" s="10"/>
    </row>
  </sheetData>
  <hyperlinks>
    <hyperlink ref="W2" r:id="rId1" tooltip="files/riverwall-assets_20260508144500931_image_0007.jpg" xr:uid="{F08831CE-AEE0-4CB1-969B-9C5971F966F6}"/>
    <hyperlink ref="W3" r:id="rId2" tooltip="files/riverwall-assets_20260508143931494_image_0007.jpg" xr:uid="{152C875D-8FD5-47B1-B6EA-154AE8CD6FCA}"/>
    <hyperlink ref="W4" r:id="rId3" tooltip="files/riverwall-assets_20260508155334736_image_0007.jpg" xr:uid="{099D5F17-8C29-46DD-AAB2-A9E3DB927082}"/>
    <hyperlink ref="W5" r:id="rId4" tooltip="files/riverwall-assets_20260508152842910_image_0007.jpg" xr:uid="{B6EC2AA5-B6F4-4B64-AEAF-7BD473461C1C}"/>
    <hyperlink ref="W6" r:id="rId5" tooltip="files/riverwall-assets_20260508150932691_image_0007.jpg" xr:uid="{7EB5322A-AE1F-4FD8-9675-7295FFF392B1}"/>
    <hyperlink ref="W7" r:id="rId6" tooltip="files/riverwall-assets_20260508163927783_image_0007.jpg" xr:uid="{DCBD5182-37BF-4D18-815E-2ADDB4F43791}"/>
    <hyperlink ref="W8" r:id="rId7" tooltip="files/riverwall-assets_20260508163811968_image_0007.jpg" xr:uid="{CE0964CD-99F7-48C8-886A-58F885DC7F39}"/>
    <hyperlink ref="W9" r:id="rId8" tooltip="files/riverwall-assets_20260508162810975_image_0007.jpg" xr:uid="{A2434EAE-7602-44C9-9C8C-41A3698F234F}"/>
    <hyperlink ref="W10" r:id="rId9" tooltip="files/riverwall-assets_20260507122155748_image_0005.jpg" xr:uid="{421F5567-0E3F-4857-B9E8-1EEA51F880AB}"/>
    <hyperlink ref="W11" r:id="rId10" tooltip="files/riverwall-assets_20260507114616144_image_0005.jpg" xr:uid="{31EE6A24-A84A-448A-9DB0-F325038289A8}"/>
    <hyperlink ref="W12" r:id="rId11" tooltip="files/riverwall-assets_20260507114315159_image_0004.jpg" xr:uid="{694001BF-86CA-4C46-B86F-CB89D26A1223}"/>
    <hyperlink ref="W13" r:id="rId12" tooltip="files/riverwall-assets_20260507113908285_image_0003.jpg" xr:uid="{70813146-94BE-4917-8DE1-6D5C8D7353C2}"/>
    <hyperlink ref="W14" r:id="rId13" tooltip="files/riverwall-assets_20260507113246540_image_0003.jpg" xr:uid="{A6A25786-93AB-45AE-A12A-140998A0DD0B}"/>
    <hyperlink ref="W15" r:id="rId14" tooltip="files/riverwall-assets_20260507110324929_image_0002.jpg" xr:uid="{2954D776-F243-4A62-83D6-49F8F0A039F4}"/>
    <hyperlink ref="W16" r:id="rId15" tooltip="files/riverwall-assets_20260507131219925_image_0005.jpg" xr:uid="{996BAEA2-ACC7-45DC-84D6-AF26A95AAF57}"/>
    <hyperlink ref="W17" r:id="rId16" tooltip="files/riverwall-assets_20260507150923104_image_0007.jpg" xr:uid="{0A43D988-2BC2-4AFC-ACBB-01655581993D}"/>
    <hyperlink ref="W18" r:id="rId17" tooltip="files/riverwall-assets_20260510154445509_image_0008.jpg" xr:uid="{E227F287-D143-400B-8874-42FAB551226A}"/>
    <hyperlink ref="W19" r:id="rId18" tooltip="files/riverwall-assets_20260510125819176_image_0007.jpg" xr:uid="{960FA668-A68F-4100-A007-487CCB87BC88}"/>
    <hyperlink ref="W20" r:id="rId19" tooltip="files/riverwall-assets_20260510153548944_image_0007.jpg" xr:uid="{3139C643-C8BD-4AF0-9F36-79DF5D7F2E76}"/>
    <hyperlink ref="W21" r:id="rId20" tooltip="files/riverwall-assets_20260510153349644_image_0007.jpg" xr:uid="{D37FDB29-AFF8-4913-A5EA-BB9236C3062E}"/>
    <hyperlink ref="W22" r:id="rId21" tooltip="files/riverwall-assets_20260508135558038_image_0007.jpg" xr:uid="{6147AFB5-D92B-4353-8A99-BF4BEF6F2579}"/>
    <hyperlink ref="W23" r:id="rId22" tooltip="files/riverwall-assets_20260508142251480_image_0007.jpg" xr:uid="{53318ED0-7B4D-4DB3-B077-920F0C62079B}"/>
    <hyperlink ref="W24" r:id="rId23" tooltip="files/riverwall-assets_20260510151902852_image_0007.jpg" xr:uid="{A3FDBF1B-877E-4454-AF69-D319394FF803}"/>
    <hyperlink ref="W25" r:id="rId24" tooltip="files/riverwall-assets_20260510152216249_image_0007.jpg" xr:uid="{5236F066-F618-4CF1-B2E2-A3DD36657585}"/>
    <hyperlink ref="W26" r:id="rId25" tooltip="files/riverwall-assets_20260510152858776_image_0007.jpg" xr:uid="{D6E99864-6238-43D5-86C4-4E10FB1A16F3}"/>
    <hyperlink ref="W27" r:id="rId26" tooltip="files/riverwall-assets_20260508151327106_image_0007.jpg" xr:uid="{8DD6D0B2-EE76-48DD-808F-236CB2055B7C}"/>
    <hyperlink ref="W28" r:id="rId27" tooltip="files/riverwall-assets_20260508145014765_image_0007.jpg" xr:uid="{14EEA180-7634-459C-A6DF-123101FEEFAF}"/>
    <hyperlink ref="W29" r:id="rId28" tooltip="files/riverwall-assets_20260508154640611_image_0007.jpg" xr:uid="{51668CE5-6A46-40A5-A59A-2F19D95DB8DA}"/>
    <hyperlink ref="W30" r:id="rId29" tooltip="files/riverwall-assets_20260508151619187_image_0007.jpg" xr:uid="{BF9B748D-8201-45A4-9D2E-A12D9A4D8B71}"/>
    <hyperlink ref="W31" r:id="rId30" tooltip="files/riverwall-assets_20260508152252352_image_0007.jpg" xr:uid="{15AE061E-C2A4-4C03-A176-90734DCB87A9}"/>
    <hyperlink ref="W32" r:id="rId31" tooltip="files/riverwall-assets_20260508152430832_image_0007.jpg" xr:uid="{7CD69EDB-67C6-4B4D-96FD-BD422C73792A}"/>
    <hyperlink ref="W33" r:id="rId32" tooltip="files/riverwall-assets_20260508163236376_image_0007.jpg" xr:uid="{F493E73B-6662-4F13-9C07-7DB5A1118481}"/>
    <hyperlink ref="W34" r:id="rId33" tooltip="files/riverwall-assets_20260508163358747_image_0007.jpg" xr:uid="{04559743-1B1D-4B1C-8947-4FC22B77B6BD}"/>
    <hyperlink ref="W35" r:id="rId34" tooltip="files/riverwall-assets_20260508163522228_image_0007.jpg" xr:uid="{EADCE6F0-3A32-402B-A11E-E14314853BA8}"/>
    <hyperlink ref="W36" r:id="rId35" tooltip="files/riverwall-assets_20260508135923429_image_0007.jpg" xr:uid="{FB3FB664-7AE0-49A8-AD5F-3D5815CBCEA9}"/>
    <hyperlink ref="W37" r:id="rId36" tooltip="files/riverwall-assets_20260508134837943_image_0007.jpg" xr:uid="{F4745AD6-0A3D-4BD1-82E2-ABAC0428B2ED}"/>
    <hyperlink ref="W38" r:id="rId37" tooltip="files/riverwall-assets_20260508132140020_image_0007.jpg" xr:uid="{8F470CA9-8510-4E89-9D96-01437C63D61D}"/>
    <hyperlink ref="W39" r:id="rId38" tooltip="files/riverwall-assets_20260507111600397_image_0003.jpg" xr:uid="{072252AD-EA32-419E-81EE-9A758181486D}"/>
    <hyperlink ref="W40" r:id="rId39" tooltip="files/riverwall-assets_20260507113516762_image_0003.jpg" xr:uid="{0493FC55-5184-4C63-9572-84701EA56495}"/>
    <hyperlink ref="W41" r:id="rId40" tooltip="files/riverwall-assets_20260507132537068_image_0007.jpg" xr:uid="{80DF5773-A989-40CC-8891-BD8B2F579734}"/>
    <hyperlink ref="W42" r:id="rId41" tooltip="files/riverwall-assets_20260508140118284_image_0007.jpg" xr:uid="{4D27B774-F6AF-4252-9FFA-0FFED42AEEB9}"/>
    <hyperlink ref="W43" r:id="rId42" tooltip="files/riverwall-assets_20260508145936536_image_0007.jpg" xr:uid="{38A6FC25-8A4A-4E19-BE36-F7E76C104BAD}"/>
    <hyperlink ref="W44" r:id="rId43" tooltip="files/riverwall-assets_20260508152133914_image_0007.jpg" xr:uid="{ED564C22-8058-473D-A26D-CFC040F50435}"/>
    <hyperlink ref="W45" r:id="rId44" tooltip="files/riverwall-assets_20260508155117537_image_0007.jpg" xr:uid="{A490B1A1-47BC-472D-AE43-25490814A0AE}"/>
    <hyperlink ref="W46" r:id="rId45" tooltip="files/riverwall-assets_20260508163121347_image_0007.jpg" xr:uid="{E64CF4D6-D617-4CCA-B4F7-8A736841BEFA}"/>
    <hyperlink ref="W47" r:id="rId46" tooltip="files/riverwall-assets_20260510154008514_image_0007.jpg" xr:uid="{849C871B-C5F9-47A6-AEB6-03A1EF26EAF1}"/>
    <hyperlink ref="X2" r:id="rId47" tooltip="files/riverwall-assets_20260508144517594_image_0007.jpg" xr:uid="{3335DE79-4974-4138-AA45-0653EB98428A}"/>
    <hyperlink ref="X3" r:id="rId48" tooltip="files/riverwall-assets_20260508144248151_image_0007.jpg" xr:uid="{7DC5BEBB-4960-48AE-8D33-C39B8720DF88}"/>
    <hyperlink ref="X5" r:id="rId49" tooltip="files/riverwall-assets_20260508153219904_image_0007.jpg" xr:uid="{63B20EE1-3426-45E3-920A-4AA72A33E49A}"/>
    <hyperlink ref="X6" r:id="rId50" tooltip="files/riverwall-assets_20260508151157976_image_0007.jpg" xr:uid="{53FF9620-7F9C-46BF-8F14-17CC37903DD0}"/>
    <hyperlink ref="X7" r:id="rId51" tooltip="files/riverwall-assets_20260508163942051_image_0007.jpg" xr:uid="{E43888E6-5396-4055-AAD2-1103DD15B146}"/>
    <hyperlink ref="X8" r:id="rId52" tooltip="files/riverwall-assets_20260508163828764_image_0007.jpg" xr:uid="{9E3AA2C5-19D5-4A78-AFC1-E3BEF5809BDF}"/>
    <hyperlink ref="X9" r:id="rId53" tooltip="files/riverwall-assets_20260508162907509_image_0007.jpg" xr:uid="{03208EA7-318D-4D97-B8F7-01E9104B23FE}"/>
    <hyperlink ref="X10" r:id="rId54" tooltip="files/riverwall-assets_20260507122345006_image_0005.jpg" xr:uid="{4347BC48-678C-491A-86B6-FA4E1E95413F}"/>
    <hyperlink ref="X11" r:id="rId55" tooltip="files/riverwall-assets_20260507114809106_image_0005.jpg" xr:uid="{A6DF7744-F8BF-42D8-A75A-AB24F8DEC0DA}"/>
    <hyperlink ref="X12" r:id="rId56" tooltip="files/riverwall-assets_20260507114409274_image_0004.jpg" xr:uid="{7875D1BD-9BE6-4079-949B-F0A8D6F580F8}"/>
    <hyperlink ref="X13" r:id="rId57" tooltip="files/riverwall-assets_20260507114141208_image_0003.jpg" xr:uid="{DF03A3C2-EEC7-4D5E-866E-6DB077B75FD0}"/>
    <hyperlink ref="X14" r:id="rId58" tooltip="files/riverwall-assets_20260507113255017_image_0003.jpg" xr:uid="{9CEB4485-2A49-48E0-8FAD-DFD123C6EF10}"/>
    <hyperlink ref="X15" r:id="rId59" tooltip="files/riverwall-assets_20260507111006248_image_0002.jpg" xr:uid="{58491099-C73F-4185-85DA-6E0B7CEA4BA6}"/>
    <hyperlink ref="X16" r:id="rId60" tooltip="files/riverwall-assets_20260507132003312_image_0006.jpg" xr:uid="{9458609C-11AB-48E2-B812-6E20EC623A7E}"/>
    <hyperlink ref="X17" r:id="rId61" tooltip="files/riverwall-assets_20260507150554263_image_0007.jpg" xr:uid="{89285771-588D-4482-8FF5-EBC1A41FE73C}"/>
    <hyperlink ref="X18" r:id="rId62" tooltip="files/riverwall-assets_20260510154556886_image_0008.jpg" xr:uid="{C3B778B3-F077-4A3A-9285-97E2EF7738AB}"/>
    <hyperlink ref="X19" r:id="rId63" tooltip="files/riverwall-assets_20260510154135870_image_0007.jpg" xr:uid="{3E0018A1-9E32-4C7A-AF78-EA6C4E64A707}"/>
    <hyperlink ref="X20" r:id="rId64" tooltip="files/riverwall-assets_20260510153610541_image_0007.jpg" xr:uid="{04656ABA-D63E-4D9D-85BB-4AC43A024A5A}"/>
    <hyperlink ref="X21" r:id="rId65" tooltip="files/riverwall-assets_20260510153357997_image_0007.jpg" xr:uid="{93B5964A-4936-4B74-86F2-031F977EC1AA}"/>
    <hyperlink ref="X22" r:id="rId66" tooltip="files/riverwall-assets_20260508135649961_image_0007.jpg" xr:uid="{4767089F-F461-42A3-BBCE-2A77598F63BB}"/>
    <hyperlink ref="X23" r:id="rId67" tooltip="files/riverwall-assets_20260508142306500_image_0007.jpg" xr:uid="{DD2CB076-2302-4380-A95E-B886A736082D}"/>
    <hyperlink ref="X25" r:id="rId68" tooltip="files/riverwall-assets_20260510152230285_image_0007.jpg" xr:uid="{C70762FD-FF23-41BD-A8A8-9D0CC84AAC7A}"/>
    <hyperlink ref="X26" r:id="rId69" tooltip="files/riverwall-assets_20260510152913954_image_0007.jpg" xr:uid="{2112AC44-A94C-4CCE-8689-45DA54069E45}"/>
    <hyperlink ref="X27" r:id="rId70" tooltip="files/riverwall-assets_20260508151413703_image_0007.jpg" xr:uid="{34967633-CA1C-4EA2-BC00-921BEA82913A}"/>
    <hyperlink ref="X28" r:id="rId71" tooltip="files/riverwall-assets_20260508145308562_image_0007.jpg" xr:uid="{A587BC96-E3D5-47C1-A353-E92CF383BBE4}"/>
    <hyperlink ref="X29" r:id="rId72" tooltip="files/riverwall-assets_20260508154843155_image_0007.jpg" xr:uid="{DBDB520E-1A63-4D54-A31E-E7A0E2B390C7}"/>
    <hyperlink ref="X30" r:id="rId73" tooltip="files/riverwall-assets_20260508151705259_image_0007.jpg" xr:uid="{383ACA50-C49B-4E12-8D34-AE990E8B8579}"/>
    <hyperlink ref="X34" r:id="rId74" tooltip="files/riverwall-assets_20260508163403633_image_0007.jpg" xr:uid="{88626F53-686B-404C-B6CC-F5812D0D944F}"/>
    <hyperlink ref="X35" r:id="rId75" tooltip="files/riverwall-assets_20260508163637997_image_0007.jpg" xr:uid="{43069298-606E-4969-B590-CDA0B5AA8794}"/>
    <hyperlink ref="X36" r:id="rId76" tooltip="files/riverwall-assets_20260508140355056_image_0007.jpg" xr:uid="{ECA73028-8E1B-4E7C-A9E2-92277CB712E1}"/>
    <hyperlink ref="X37" r:id="rId77" tooltip="files/riverwall-assets_20260508134853199_image_0007.jpg" xr:uid="{7A63B354-8841-494B-86F3-DDD8D34931B8}"/>
    <hyperlink ref="X38" r:id="rId78" tooltip="files/riverwall-assets_20260508132156583_image_0007.jpg" xr:uid="{5CB9CE21-37A4-4FC2-8A34-3BA24A6E8113}"/>
    <hyperlink ref="X39" r:id="rId79" tooltip="files/riverwall-assets_20260507111632129_image_0003.jpg" xr:uid="{B5F07D12-0A3D-4373-AF90-E39116B7164E}"/>
    <hyperlink ref="X41" r:id="rId80" tooltip="files/riverwall-assets_20260507132606556_image_0007.jpg" xr:uid="{ED45D263-4B36-47C5-B12B-2ECC8EB8650E}"/>
    <hyperlink ref="X42" r:id="rId81" tooltip="files/riverwall-assets_20260508140127402_image_0007.jpg" xr:uid="{09781DBE-E795-44EA-8573-FD0065F94C13}"/>
    <hyperlink ref="X43" r:id="rId82" tooltip="files/riverwall-assets_20260508145834409_image_0007.jpg" xr:uid="{5D17DF81-C9F0-4634-BBD2-E0C4FD465F3F}"/>
    <hyperlink ref="X45" r:id="rId83" tooltip="files/riverwall-assets_20260508155137225_image_0007.jpg" xr:uid="{A5EF3AD0-2D67-4EA8-A06E-EAE99778B57B}"/>
    <hyperlink ref="X46" r:id="rId84" tooltip="files/riverwall-assets_20260508163131624_image_0007.jpg" xr:uid="{17D72410-17FE-471A-9B2D-8C8DC04DB665}"/>
    <hyperlink ref="Y2" r:id="rId85" tooltip="files/riverwall-assets_20260508144802939_image_0007.jpg" xr:uid="{8A539FAD-AA41-42F8-88A0-2CDB92E96275}"/>
    <hyperlink ref="Y3" r:id="rId86" tooltip="files/riverwall-assets_20260508144308785_image_0007.jpg" xr:uid="{1913E3B1-1496-4BB7-B66C-3DCC561B6388}"/>
    <hyperlink ref="Y5" r:id="rId87" tooltip="files/riverwall-assets_20260508153514598_image_0007.jpg" xr:uid="{42EB4DBB-7409-4FBD-A112-973793510F3C}"/>
    <hyperlink ref="Y6" r:id="rId88" tooltip="files/riverwall-assets_20260508151212761_image_0007.jpg" xr:uid="{2F59EBF8-D565-487B-8093-6BEAE4D2A19D}"/>
    <hyperlink ref="Y8" r:id="rId89" tooltip="files/riverwall-assets_20260508163838218_image_0007.jpg" xr:uid="{6BFBE7C1-C5B2-4C87-B275-CD9BF4E93F1C}"/>
    <hyperlink ref="Y10" r:id="rId90" tooltip="files/riverwall-assets_20260507122800971_image_0005.jpg" xr:uid="{38859E40-01A1-4609-A444-674BAC86E41D}"/>
    <hyperlink ref="Y11" r:id="rId91" tooltip="files/riverwall-assets_20260507115333079_image_0005.jpg" xr:uid="{6E3F9217-8B51-469A-9AAB-AC11DFB17AF3}"/>
    <hyperlink ref="Y15" r:id="rId92" tooltip="files/riverwall-assets_20260507111154717_image_0003.jpg" xr:uid="{076FC246-826B-4AA8-9B15-BE5B649C7A1B}"/>
    <hyperlink ref="Y16" r:id="rId93" tooltip="files/riverwall-assets_20260507131859460_image_0006.jpg" xr:uid="{247B1A54-2CA0-4225-BA64-E480C69E0D0A}"/>
    <hyperlink ref="Y17" r:id="rId94" tooltip="files/riverwall-assets_20260507133312885_image_0007.jpg" xr:uid="{E799A6CF-67FA-4B1C-85AC-76EF056ED435}"/>
    <hyperlink ref="Y19" r:id="rId95" tooltip="files/riverwall-assets_20260510154219481_image_0007.jpg" xr:uid="{6F098565-9ACC-4556-8FF0-41D4388C055F}"/>
    <hyperlink ref="Y20" r:id="rId96" tooltip="files/riverwall-assets_20260510153756152_image_0007.jpg" xr:uid="{CE92E12B-93CB-4AF9-A7BC-79E859C8C691}"/>
    <hyperlink ref="Y21" r:id="rId97" tooltip="files/riverwall-assets_20260510153437592_image_0007.jpg" xr:uid="{166D9DA7-E7C0-4203-AB3E-518EC9B6E66C}"/>
    <hyperlink ref="Y27" r:id="rId98" tooltip="files/riverwall-assets_20260508151500631_image_0007.jpg" xr:uid="{352E2077-E6F2-4DF7-A09D-F0B91CDE5FD1}"/>
    <hyperlink ref="Y28" r:id="rId99" tooltip="files/riverwall-assets_20260508145524882_image_0007.jpg" xr:uid="{B8AE3D6E-0139-4ECF-84FA-147888D6A418}"/>
    <hyperlink ref="Y30" r:id="rId100" tooltip="files/riverwall-assets_20260508151753668_image_0007.jpg" xr:uid="{3AE61654-B8EC-4076-BED4-2BB0674018FF}"/>
    <hyperlink ref="Y35" r:id="rId101" tooltip="files/riverwall-assets_20260508163714056_image_0007.jpg" xr:uid="{1E932752-9404-4B1B-89A1-929D8674E677}"/>
    <hyperlink ref="Y36" r:id="rId102" tooltip="files/riverwall-assets_20260508140404165_image_0007.jpg" xr:uid="{CB4FBC7F-20DF-4691-B86D-7F4606B5D118}"/>
    <hyperlink ref="Y38" r:id="rId103" tooltip="files/riverwall-assets_20260508132641741_image_0007.jpg" xr:uid="{81101BBC-A5D9-4F45-ABFC-37EE9E43320C}"/>
    <hyperlink ref="Y41" r:id="rId104" tooltip="files/riverwall-assets_20260507132618982_image_0007.jpg" xr:uid="{FCC87FB1-9A0F-4DE9-890A-9638F08A1F0E}"/>
    <hyperlink ref="Y43" r:id="rId105" tooltip="files/riverwall-assets_20260508150134099_image_0007.jpg" xr:uid="{2380B53A-F165-4D1B-9179-2669EB916C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FV Riverwall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Ferguson</dc:creator>
  <cp:lastModifiedBy>Damian Ferguson</cp:lastModifiedBy>
  <dcterms:created xsi:type="dcterms:W3CDTF">2026-05-22T10:10:03Z</dcterms:created>
  <dcterms:modified xsi:type="dcterms:W3CDTF">2026-05-22T10:10:20Z</dcterms:modified>
</cp:coreProperties>
</file>